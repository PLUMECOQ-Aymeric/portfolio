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ume\Downloads\"/>
    </mc:Choice>
  </mc:AlternateContent>
  <xr:revisionPtr revIDLastSave="0" documentId="13_ncr:1_{AD626CD3-5BBD-4CA0-9AFA-556C86305584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BDD unique" sheetId="1" r:id="rId1"/>
    <sheet name="fiche de paye" sheetId="2" r:id="rId2"/>
    <sheet name="Vente" sheetId="3" r:id="rId3"/>
    <sheet name="Achat" sheetId="4" r:id="rId4"/>
    <sheet name="Stock" sheetId="5" r:id="rId5"/>
    <sheet name="Finance" sheetId="6" r:id="rId6"/>
    <sheet name="Décisionnel" sheetId="7" r:id="rId7"/>
  </sheets>
  <definedNames>
    <definedName name="entreprise">#REF!</definedName>
    <definedName name="Produit">#REF!</definedName>
    <definedName name="salari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7" l="1"/>
  <c r="E53" i="7"/>
  <c r="C53" i="7"/>
  <c r="D53" i="7" s="1"/>
  <c r="F53" i="7" s="1"/>
  <c r="B53" i="7"/>
  <c r="D7" i="7"/>
  <c r="N4" i="7"/>
  <c r="M4" i="7"/>
  <c r="D32" i="7" s="1"/>
  <c r="S3" i="7"/>
  <c r="R3" i="7"/>
  <c r="T3" i="7" s="1"/>
  <c r="C8" i="7" s="1"/>
  <c r="Q3" i="7"/>
  <c r="D8" i="7" s="1"/>
  <c r="N3" i="7"/>
  <c r="O3" i="7" s="1"/>
  <c r="M3" i="7"/>
  <c r="D31" i="7" s="1"/>
  <c r="S2" i="7"/>
  <c r="R2" i="7"/>
  <c r="Q2" i="7"/>
  <c r="T2" i="7" s="1"/>
  <c r="C7" i="7" s="1"/>
  <c r="N2" i="7"/>
  <c r="M2" i="7"/>
  <c r="E54" i="7" s="1"/>
  <c r="S1" i="7"/>
  <c r="R1" i="7"/>
  <c r="Q1" i="7"/>
  <c r="D6" i="7" s="1"/>
  <c r="O1" i="7"/>
  <c r="C29" i="7" s="1"/>
  <c r="N1" i="7"/>
  <c r="M1" i="7"/>
  <c r="D29" i="7" s="1"/>
  <c r="B6" i="6"/>
  <c r="D10" i="5"/>
  <c r="C10" i="5"/>
  <c r="B10" i="5"/>
  <c r="A10" i="5"/>
  <c r="E10" i="5" s="1"/>
  <c r="F10" i="5" s="1"/>
  <c r="G10" i="5" s="1"/>
  <c r="D9" i="5"/>
  <c r="C9" i="5"/>
  <c r="B9" i="5"/>
  <c r="A9" i="5"/>
  <c r="E9" i="5" s="1"/>
  <c r="F9" i="5" s="1"/>
  <c r="G9" i="5" s="1"/>
  <c r="C8" i="5"/>
  <c r="B8" i="5"/>
  <c r="A8" i="5"/>
  <c r="E8" i="5" s="1"/>
  <c r="E7" i="5"/>
  <c r="F7" i="5" s="1"/>
  <c r="G7" i="5" s="1"/>
  <c r="D7" i="5"/>
  <c r="C7" i="5"/>
  <c r="B7" i="5"/>
  <c r="A7" i="5"/>
  <c r="D16" i="4"/>
  <c r="E16" i="4" s="1"/>
  <c r="E15" i="4"/>
  <c r="D15" i="4"/>
  <c r="D14" i="4"/>
  <c r="E14" i="4" s="1"/>
  <c r="E13" i="4"/>
  <c r="D13" i="4"/>
  <c r="D12" i="4"/>
  <c r="E12" i="4" s="1"/>
  <c r="D11" i="4"/>
  <c r="E11" i="4" s="1"/>
  <c r="N4" i="4"/>
  <c r="M4" i="4"/>
  <c r="O4" i="4" s="1"/>
  <c r="S3" i="4"/>
  <c r="R3" i="4"/>
  <c r="Q3" i="4"/>
  <c r="T3" i="4" s="1"/>
  <c r="O3" i="4"/>
  <c r="N3" i="4"/>
  <c r="M3" i="4"/>
  <c r="S2" i="4"/>
  <c r="R2" i="4"/>
  <c r="Q2" i="4"/>
  <c r="T2" i="4" s="1"/>
  <c r="N2" i="4"/>
  <c r="M2" i="4"/>
  <c r="O2" i="4" s="1"/>
  <c r="S1" i="4"/>
  <c r="T1" i="4" s="1"/>
  <c r="R1" i="4"/>
  <c r="Q1" i="4"/>
  <c r="O1" i="4"/>
  <c r="N1" i="4"/>
  <c r="M1" i="4"/>
  <c r="F23" i="3"/>
  <c r="E23" i="3"/>
  <c r="E22" i="3"/>
  <c r="F22" i="3" s="1"/>
  <c r="F21" i="3"/>
  <c r="E21" i="3"/>
  <c r="E20" i="3"/>
  <c r="F20" i="3" s="1"/>
  <c r="E19" i="3"/>
  <c r="F19" i="3" s="1"/>
  <c r="E18" i="3"/>
  <c r="F18" i="3" s="1"/>
  <c r="F17" i="3"/>
  <c r="E17" i="3"/>
  <c r="E16" i="3"/>
  <c r="F16" i="3" s="1"/>
  <c r="F15" i="3"/>
  <c r="E15" i="3"/>
  <c r="E14" i="3"/>
  <c r="F14" i="3" s="1"/>
  <c r="E13" i="3"/>
  <c r="F13" i="3" s="1"/>
  <c r="E12" i="3"/>
  <c r="F12" i="3" s="1"/>
  <c r="F11" i="3"/>
  <c r="F26" i="3" s="1"/>
  <c r="C7" i="6" s="1"/>
  <c r="E11" i="3"/>
  <c r="N4" i="3"/>
  <c r="M4" i="3"/>
  <c r="O4" i="3" s="1"/>
  <c r="T3" i="3"/>
  <c r="S3" i="3"/>
  <c r="R3" i="3"/>
  <c r="Q3" i="3"/>
  <c r="O3" i="3"/>
  <c r="N3" i="3"/>
  <c r="M3" i="3"/>
  <c r="S2" i="3"/>
  <c r="R2" i="3"/>
  <c r="Q2" i="3"/>
  <c r="T2" i="3" s="1"/>
  <c r="O2" i="3"/>
  <c r="N2" i="3"/>
  <c r="M2" i="3"/>
  <c r="S1" i="3"/>
  <c r="R1" i="3"/>
  <c r="T1" i="3" s="1"/>
  <c r="Q1" i="3"/>
  <c r="N1" i="3"/>
  <c r="M1" i="3"/>
  <c r="O1" i="3" s="1"/>
  <c r="F30" i="2"/>
  <c r="F33" i="2" s="1"/>
  <c r="G9" i="2"/>
  <c r="I22" i="2" s="1"/>
  <c r="K22" i="2" s="1"/>
  <c r="I6" i="2"/>
  <c r="D6" i="2"/>
  <c r="D5" i="2"/>
  <c r="I4" i="2"/>
  <c r="D4" i="2"/>
  <c r="D3" i="2"/>
  <c r="F23" i="2" l="1"/>
  <c r="H23" i="2" s="1"/>
  <c r="I35" i="2"/>
  <c r="K35" i="2" s="1"/>
  <c r="I23" i="2"/>
  <c r="K23" i="2" s="1"/>
  <c r="F15" i="2"/>
  <c r="H15" i="2" s="1"/>
  <c r="I36" i="2"/>
  <c r="K36" i="2" s="1"/>
  <c r="I27" i="2"/>
  <c r="K27" i="2" s="1"/>
  <c r="F17" i="2"/>
  <c r="H17" i="2" s="1"/>
  <c r="I28" i="2"/>
  <c r="K28" i="2" s="1"/>
  <c r="I19" i="2"/>
  <c r="K19" i="2" s="1"/>
  <c r="I31" i="2"/>
  <c r="K31" i="2" s="1"/>
  <c r="F22" i="2"/>
  <c r="H22" i="2" s="1"/>
  <c r="F34" i="2"/>
  <c r="H34" i="2" s="1"/>
  <c r="I34" i="2"/>
  <c r="K34" i="2" s="1"/>
  <c r="F36" i="2"/>
  <c r="H36" i="2" s="1"/>
  <c r="I24" i="2"/>
  <c r="K24" i="2" s="1"/>
  <c r="I25" i="2"/>
  <c r="K25" i="2" s="1"/>
  <c r="F16" i="2"/>
  <c r="H16" i="2" s="1"/>
  <c r="F19" i="2"/>
  <c r="H19" i="2" s="1"/>
  <c r="F20" i="2"/>
  <c r="H20" i="2" s="1"/>
  <c r="E21" i="4"/>
  <c r="B8" i="6" s="1"/>
  <c r="B10" i="6" s="1"/>
  <c r="E20" i="4"/>
  <c r="I33" i="2"/>
  <c r="K33" i="2" s="1"/>
  <c r="H33" i="2"/>
  <c r="C31" i="7"/>
  <c r="A55" i="7"/>
  <c r="D55" i="7"/>
  <c r="A53" i="7"/>
  <c r="B55" i="7"/>
  <c r="E55" i="7"/>
  <c r="H30" i="2"/>
  <c r="T1" i="7"/>
  <c r="C6" i="7" s="1"/>
  <c r="I30" i="2"/>
  <c r="K30" i="2" s="1"/>
  <c r="F25" i="3"/>
  <c r="B56" i="7"/>
  <c r="D8" i="5"/>
  <c r="F8" i="5" s="1"/>
  <c r="G8" i="5" s="1"/>
  <c r="G14" i="5" s="1"/>
  <c r="C9" i="6" s="1"/>
  <c r="C11" i="6" s="1"/>
  <c r="O2" i="7"/>
  <c r="D30" i="7"/>
  <c r="B54" i="7"/>
  <c r="C54" i="7"/>
  <c r="D54" i="7" s="1"/>
  <c r="F54" i="7" s="1"/>
  <c r="C56" i="7"/>
  <c r="O4" i="7"/>
  <c r="E56" i="7"/>
  <c r="H37" i="2" l="1"/>
  <c r="K41" i="2" s="1"/>
  <c r="K43" i="2" s="1"/>
  <c r="K37" i="2"/>
  <c r="A54" i="7"/>
  <c r="C30" i="7"/>
  <c r="B11" i="6"/>
  <c r="B15" i="6" s="1"/>
  <c r="C32" i="7"/>
  <c r="A56" i="7"/>
  <c r="D56" i="7"/>
  <c r="F56" i="7" s="1"/>
  <c r="F55" i="7"/>
</calcChain>
</file>

<file path=xl/sharedStrings.xml><?xml version="1.0" encoding="utf-8"?>
<sst xmlns="http://schemas.openxmlformats.org/spreadsheetml/2006/main" count="154" uniqueCount="136">
  <si>
    <t>TABLE SALARIE</t>
  </si>
  <si>
    <t>matricule</t>
  </si>
  <si>
    <t>nom</t>
  </si>
  <si>
    <t>prénom</t>
  </si>
  <si>
    <t>date naissance</t>
  </si>
  <si>
    <t>fonction</t>
  </si>
  <si>
    <t>salaire (brut)</t>
  </si>
  <si>
    <t>Martin</t>
  </si>
  <si>
    <t>Paul</t>
  </si>
  <si>
    <t>ingénieur</t>
  </si>
  <si>
    <t>Bernard</t>
  </si>
  <si>
    <t>Sébastien</t>
  </si>
  <si>
    <t>technicien</t>
  </si>
  <si>
    <t>Domenech</t>
  </si>
  <si>
    <t>Raymon</t>
  </si>
  <si>
    <t>chef de projet</t>
  </si>
  <si>
    <t>Chirac</t>
  </si>
  <si>
    <t>Bernadette</t>
  </si>
  <si>
    <t>secrétaire</t>
  </si>
  <si>
    <t>Hollande</t>
  </si>
  <si>
    <t>François</t>
  </si>
  <si>
    <t>PDG</t>
  </si>
  <si>
    <t>Vaillant</t>
  </si>
  <si>
    <t>commercial</t>
  </si>
  <si>
    <t>Faure</t>
  </si>
  <si>
    <t>Michel</t>
  </si>
  <si>
    <t>Huster</t>
  </si>
  <si>
    <t>Françis</t>
  </si>
  <si>
    <t>TABLE PRODUIT</t>
  </si>
  <si>
    <t>id</t>
  </si>
  <si>
    <t>prix vente</t>
  </si>
  <si>
    <t>prix achat</t>
  </si>
  <si>
    <t>Peugeot 406</t>
  </si>
  <si>
    <t>BMW série 3</t>
  </si>
  <si>
    <t>Renault mégane</t>
  </si>
  <si>
    <t>Renault clio</t>
  </si>
  <si>
    <t>Table Entreprise</t>
  </si>
  <si>
    <t>adresse</t>
  </si>
  <si>
    <t>CP</t>
  </si>
  <si>
    <t>VILLE</t>
  </si>
  <si>
    <t>n°SIRET</t>
  </si>
  <si>
    <t>Concessionnaire Senghor</t>
  </si>
  <si>
    <t>Place Pierre Beregovoy</t>
  </si>
  <si>
    <t>MAGNANVILLE</t>
  </si>
  <si>
    <t>BULLETIN DE PAIE - CADRE</t>
  </si>
  <si>
    <t>EMPLOYEUR:</t>
  </si>
  <si>
    <t>SALARIE:</t>
  </si>
  <si>
    <t>Nom:</t>
  </si>
  <si>
    <t>matricule du salarié :</t>
  </si>
  <si>
    <t>Adresse:</t>
  </si>
  <si>
    <t>Nom et Prénom:</t>
  </si>
  <si>
    <t>CP et Ville :</t>
  </si>
  <si>
    <t>Date naissance</t>
  </si>
  <si>
    <t>Numéro SIRET:</t>
  </si>
  <si>
    <t>SALAIRE BRUT</t>
  </si>
  <si>
    <t>COTISATIONS</t>
  </si>
  <si>
    <t>PART SALARIALE</t>
  </si>
  <si>
    <t>PART PATRONALE</t>
  </si>
  <si>
    <t>Base</t>
  </si>
  <si>
    <t>Taux</t>
  </si>
  <si>
    <t>Montant</t>
  </si>
  <si>
    <t>CSG non déductible</t>
  </si>
  <si>
    <t>CRDS non déductible</t>
  </si>
  <si>
    <t>Csg déductible</t>
  </si>
  <si>
    <t>Sécurité sociale</t>
  </si>
  <si>
    <t>Assurance maladie</t>
  </si>
  <si>
    <t>Assurance veuvage</t>
  </si>
  <si>
    <t>Assurance vieillesse</t>
  </si>
  <si>
    <t>AV déplafonée</t>
  </si>
  <si>
    <t>AV plafonnée</t>
  </si>
  <si>
    <t>Accidents du travail</t>
  </si>
  <si>
    <t>Allocation familiales</t>
  </si>
  <si>
    <t>Aide au logement</t>
  </si>
  <si>
    <t>AL déplafonée</t>
  </si>
  <si>
    <t>AL plafonnée</t>
  </si>
  <si>
    <t>ASSEDIC</t>
  </si>
  <si>
    <t>Assurance chômage tranche B</t>
  </si>
  <si>
    <t>Assurance chômage tranche AGS (FNGS)</t>
  </si>
  <si>
    <t>Caisse de retraite (cadre)</t>
  </si>
  <si>
    <t>Retraite complémentaire et AGFF tranche B</t>
  </si>
  <si>
    <t>APEC</t>
  </si>
  <si>
    <t>Assurance décès des cadres</t>
  </si>
  <si>
    <t>CET</t>
  </si>
  <si>
    <t>TOTAL des cotisations</t>
  </si>
  <si>
    <t>Net à payer</t>
  </si>
  <si>
    <t>Salaire net imposable</t>
  </si>
  <si>
    <t>A CONSERVER SANS LIMITATION DE DUREE</t>
  </si>
  <si>
    <t>MODULE VENTE</t>
  </si>
  <si>
    <t>Sélectionnez le produit vendu</t>
  </si>
  <si>
    <t>saisir la qté vendu</t>
  </si>
  <si>
    <t>Sélectionnez le commercial</t>
  </si>
  <si>
    <t>Historique des ventes</t>
  </si>
  <si>
    <t>date vente</t>
  </si>
  <si>
    <t>n° produit vendu</t>
  </si>
  <si>
    <t>quantité vendu</t>
  </si>
  <si>
    <t>n° commercial</t>
  </si>
  <si>
    <t>Prix unitaire vente</t>
  </si>
  <si>
    <t>Prix total</t>
  </si>
  <si>
    <t>MOYENNE</t>
  </si>
  <si>
    <t>TOTAL</t>
  </si>
  <si>
    <t>MODULE ACHAT</t>
  </si>
  <si>
    <t>Sélectionnez le produit acheté</t>
  </si>
  <si>
    <t>saisir la qté acheté</t>
  </si>
  <si>
    <t>Historique des achats</t>
  </si>
  <si>
    <t>n° produit acheté</t>
  </si>
  <si>
    <t>quantité acheté</t>
  </si>
  <si>
    <t>Prix unitaire achat</t>
  </si>
  <si>
    <t>MODULE STOCK</t>
  </si>
  <si>
    <t>id produit</t>
  </si>
  <si>
    <t>nom produit</t>
  </si>
  <si>
    <t>Prix unitaire (achat)</t>
  </si>
  <si>
    <t>qté vendu</t>
  </si>
  <si>
    <t>qte acheté</t>
  </si>
  <si>
    <t>qté stock</t>
  </si>
  <si>
    <t>Valeur stock</t>
  </si>
  <si>
    <t>MODULE FINANCE</t>
  </si>
  <si>
    <t>Année 2015</t>
  </si>
  <si>
    <t>Charge</t>
  </si>
  <si>
    <t>Recette</t>
  </si>
  <si>
    <t>Total des salaires</t>
  </si>
  <si>
    <t>Chiffre d'Affaire</t>
  </si>
  <si>
    <t>Achats</t>
  </si>
  <si>
    <t>Divers charges</t>
  </si>
  <si>
    <t>Résultat Net</t>
  </si>
  <si>
    <t>MODULE Décisionnel
 (BI : BUSINESS INTELIGENCE)</t>
  </si>
  <si>
    <t>Ventes des vendeurs</t>
  </si>
  <si>
    <t>vendeur</t>
  </si>
  <si>
    <t>Total</t>
  </si>
  <si>
    <t>Voitures vendues</t>
  </si>
  <si>
    <t>Voiture</t>
  </si>
  <si>
    <t>Bénéfices par voiture</t>
  </si>
  <si>
    <t>Prix achat</t>
  </si>
  <si>
    <t>Prix vente</t>
  </si>
  <si>
    <t>Bénéfice pour 1 voiture vendue</t>
  </si>
  <si>
    <t>nb voiture vendue</t>
  </si>
  <si>
    <t>Bénéfice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</si>
</sst>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0\ %"/>
  </numFmts>
  <fonts count="19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969696"/>
      <name val="Arial"/>
      <family val="2"/>
      <charset val="1"/>
    </font>
    <font>
      <b/>
      <sz val="10"/>
      <name val="Arial"/>
      <family val="2"/>
      <charset val="1"/>
    </font>
    <font>
      <b/>
      <sz val="16"/>
      <name val="Arial"/>
      <family val="2"/>
      <charset val="1"/>
    </font>
    <font>
      <sz val="16"/>
      <name val="Arial"/>
      <family val="2"/>
      <charset val="1"/>
    </font>
    <font>
      <b/>
      <i/>
      <sz val="9"/>
      <name val="Arial"/>
      <family val="2"/>
      <charset val="1"/>
    </font>
    <font>
      <b/>
      <i/>
      <sz val="10"/>
      <color rgb="FFFFFFFF"/>
      <name val="Arial"/>
      <family val="2"/>
      <charset val="1"/>
    </font>
    <font>
      <sz val="9"/>
      <color rgb="FF99CC00"/>
      <name val="Comic Sans MS"/>
      <family val="4"/>
      <charset val="1"/>
    </font>
    <font>
      <b/>
      <sz val="26"/>
      <color rgb="FFFFFFFF"/>
      <name val="comic"/>
      <family val="5"/>
      <charset val="1"/>
    </font>
    <font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CCCCFF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008000"/>
        <bgColor rgb="FF18A303"/>
      </patternFill>
    </fill>
    <fill>
      <patternFill patternType="solid">
        <fgColor rgb="FF339966"/>
        <bgColor rgb="FF18A303"/>
      </patternFill>
    </fill>
    <fill>
      <patternFill patternType="solid">
        <fgColor rgb="FF00FF00"/>
        <bgColor rgb="FF18A303"/>
      </patternFill>
    </fill>
    <fill>
      <patternFill patternType="solid">
        <fgColor rgb="FF0066CC"/>
        <bgColor rgb="FF0369A3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003366"/>
        <bgColor rgb="FF333399"/>
      </patternFill>
    </fill>
    <fill>
      <patternFill patternType="solid">
        <fgColor rgb="FF800080"/>
        <bgColor rgb="FF8E03A3"/>
      </patternFill>
    </fill>
    <fill>
      <patternFill patternType="solid">
        <fgColor rgb="FF99CCFF"/>
        <bgColor rgb="FFCCCCFF"/>
      </patternFill>
    </fill>
  </fills>
  <borders count="27">
    <border>
      <left/>
      <right/>
      <top/>
      <bottom/>
      <diagonal/>
    </border>
    <border>
      <left style="thin">
        <color rgb="FF0066CC"/>
      </left>
      <right/>
      <top style="thin">
        <color rgb="FF0066CC"/>
      </top>
      <bottom style="thin">
        <color rgb="FF0066CC"/>
      </bottom>
      <diagonal/>
    </border>
    <border>
      <left/>
      <right/>
      <top style="thin">
        <color rgb="FF0066CC"/>
      </top>
      <bottom style="thin">
        <color rgb="FF0066CC"/>
      </bottom>
      <diagonal/>
    </border>
    <border>
      <left/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66CC"/>
      </left>
      <right/>
      <top/>
      <bottom style="thin">
        <color rgb="FF0066CC"/>
      </bottom>
      <diagonal/>
    </border>
    <border>
      <left/>
      <right/>
      <top/>
      <bottom style="thin">
        <color rgb="FF0066CC"/>
      </bottom>
      <diagonal/>
    </border>
    <border>
      <left/>
      <right style="thin">
        <color rgb="FF0066CC"/>
      </right>
      <top/>
      <bottom style="thin">
        <color rgb="FF0066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5">
    <xf numFmtId="0" fontId="0" fillId="0" borderId="0" xfId="0"/>
    <xf numFmtId="0" fontId="5" fillId="6" borderId="7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/>
    </xf>
    <xf numFmtId="0" fontId="0" fillId="5" borderId="12" xfId="0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1" fontId="5" fillId="7" borderId="11" xfId="0" applyNumberFormat="1" applyFont="1" applyFill="1" applyBorder="1" applyAlignment="1">
      <alignment horizontal="left"/>
    </xf>
    <xf numFmtId="14" fontId="7" fillId="7" borderId="11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center"/>
    </xf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0" fontId="0" fillId="4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2" borderId="0" xfId="0" applyFill="1"/>
    <xf numFmtId="0" fontId="0" fillId="4" borderId="4" xfId="0" applyFill="1" applyBorder="1" applyAlignment="1">
      <alignment wrapText="1"/>
    </xf>
    <xf numFmtId="1" fontId="0" fillId="4" borderId="6" xfId="0" applyNumberFormat="1" applyFill="1" applyBorder="1"/>
    <xf numFmtId="0" fontId="6" fillId="0" borderId="1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5" borderId="10" xfId="0" applyFill="1" applyBorder="1"/>
    <xf numFmtId="0" fontId="0" fillId="5" borderId="0" xfId="0" applyFill="1"/>
    <xf numFmtId="0" fontId="0" fillId="5" borderId="11" xfId="0" applyFill="1" applyBorder="1"/>
    <xf numFmtId="0" fontId="0" fillId="6" borderId="8" xfId="0" applyFill="1" applyBorder="1"/>
    <xf numFmtId="0" fontId="0" fillId="6" borderId="13" xfId="0" applyFill="1" applyBorder="1"/>
    <xf numFmtId="0" fontId="0" fillId="6" borderId="1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5" fillId="7" borderId="14" xfId="0" applyNumberFormat="1" applyFont="1" applyFill="1" applyBorder="1"/>
    <xf numFmtId="0" fontId="0" fillId="6" borderId="0" xfId="0" applyFill="1"/>
    <xf numFmtId="164" fontId="8" fillId="6" borderId="0" xfId="0" applyNumberFormat="1" applyFont="1" applyFill="1"/>
    <xf numFmtId="0" fontId="0" fillId="6" borderId="11" xfId="0" applyFill="1" applyBorder="1"/>
    <xf numFmtId="0" fontId="9" fillId="6" borderId="15" xfId="0" applyFont="1" applyFill="1" applyBorder="1" applyAlignment="1">
      <alignment horizontal="left"/>
    </xf>
    <xf numFmtId="0" fontId="9" fillId="6" borderId="16" xfId="0" applyFont="1" applyFill="1" applyBorder="1" applyAlignment="1">
      <alignment horizontal="left"/>
    </xf>
    <xf numFmtId="164" fontId="0" fillId="6" borderId="16" xfId="0" applyNumberFormat="1" applyFill="1" applyBorder="1"/>
    <xf numFmtId="0" fontId="0" fillId="6" borderId="16" xfId="0" applyFill="1" applyBorder="1"/>
    <xf numFmtId="0" fontId="0" fillId="6" borderId="12" xfId="0" applyFill="1" applyBorder="1"/>
    <xf numFmtId="0" fontId="0" fillId="5" borderId="10" xfId="0" applyFill="1" applyBorder="1" applyAlignment="1">
      <alignment horizontal="left"/>
    </xf>
    <xf numFmtId="0" fontId="0" fillId="5" borderId="0" xfId="0" applyFill="1" applyAlignment="1">
      <alignment horizontal="left"/>
    </xf>
    <xf numFmtId="164" fontId="0" fillId="5" borderId="16" xfId="0" applyNumberFormat="1" applyFill="1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16" xfId="0" applyNumberFormat="1" applyBorder="1"/>
    <xf numFmtId="0" fontId="0" fillId="0" borderId="11" xfId="0" applyBorder="1"/>
    <xf numFmtId="0" fontId="9" fillId="0" borderId="7" xfId="0" applyFont="1" applyBorder="1"/>
    <xf numFmtId="0" fontId="9" fillId="0" borderId="17" xfId="0" applyFont="1" applyBorder="1"/>
    <xf numFmtId="0" fontId="9" fillId="0" borderId="12" xfId="0" applyFont="1" applyBorder="1"/>
    <xf numFmtId="164" fontId="0" fillId="0" borderId="18" xfId="0" applyNumberFormat="1" applyBorder="1"/>
    <xf numFmtId="165" fontId="0" fillId="0" borderId="18" xfId="0" applyNumberFormat="1" applyBorder="1"/>
    <xf numFmtId="164" fontId="0" fillId="6" borderId="0" xfId="0" applyNumberFormat="1" applyFill="1"/>
    <xf numFmtId="164" fontId="0" fillId="0" borderId="19" xfId="0" applyNumberFormat="1" applyBorder="1"/>
    <xf numFmtId="165" fontId="0" fillId="0" borderId="19" xfId="0" applyNumberFormat="1" applyBorder="1"/>
    <xf numFmtId="164" fontId="0" fillId="6" borderId="11" xfId="0" applyNumberFormat="1" applyFill="1" applyBorder="1"/>
    <xf numFmtId="0" fontId="0" fillId="0" borderId="19" xfId="0" applyBorder="1"/>
    <xf numFmtId="164" fontId="1" fillId="0" borderId="19" xfId="0" applyNumberFormat="1" applyFont="1" applyBorder="1"/>
    <xf numFmtId="165" fontId="0" fillId="0" borderId="0" xfId="0" applyNumberFormat="1"/>
    <xf numFmtId="164" fontId="0" fillId="6" borderId="19" xfId="0" applyNumberFormat="1" applyFill="1" applyBorder="1"/>
    <xf numFmtId="164" fontId="0" fillId="0" borderId="20" xfId="0" applyNumberFormat="1" applyBorder="1"/>
    <xf numFmtId="165" fontId="0" fillId="0" borderId="20" xfId="0" applyNumberFormat="1" applyBorder="1"/>
    <xf numFmtId="164" fontId="5" fillId="6" borderId="20" xfId="0" applyNumberFormat="1" applyFont="1" applyFill="1" applyBorder="1"/>
    <xf numFmtId="164" fontId="5" fillId="6" borderId="7" xfId="0" applyNumberFormat="1" applyFont="1" applyFill="1" applyBorder="1"/>
    <xf numFmtId="0" fontId="0" fillId="5" borderId="22" xfId="0" applyFill="1" applyBorder="1"/>
    <xf numFmtId="0" fontId="0" fillId="5" borderId="17" xfId="0" applyFill="1" applyBorder="1"/>
    <xf numFmtId="0" fontId="10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6" borderId="21" xfId="0" applyFont="1" applyFill="1" applyBorder="1" applyAlignment="1">
      <alignment horizontal="left"/>
    </xf>
    <xf numFmtId="0" fontId="0" fillId="6" borderId="22" xfId="0" applyFill="1" applyBorder="1"/>
    <xf numFmtId="164" fontId="11" fillId="6" borderId="17" xfId="0" applyNumberFormat="1" applyFont="1" applyFill="1" applyBorder="1"/>
    <xf numFmtId="164" fontId="11" fillId="0" borderId="11" xfId="0" applyNumberFormat="1" applyFont="1" applyBorder="1"/>
    <xf numFmtId="0" fontId="12" fillId="0" borderId="10" xfId="0" applyFont="1" applyBorder="1" applyAlignment="1">
      <alignment horizontal="left"/>
    </xf>
    <xf numFmtId="0" fontId="5" fillId="6" borderId="0" xfId="0" applyFont="1" applyFill="1" applyAlignment="1">
      <alignment horizontal="left"/>
    </xf>
    <xf numFmtId="0" fontId="7" fillId="6" borderId="0" xfId="0" applyFont="1" applyFill="1"/>
    <xf numFmtId="164" fontId="5" fillId="6" borderId="11" xfId="0" applyNumberFormat="1" applyFont="1" applyFill="1" applyBorder="1"/>
    <xf numFmtId="164" fontId="11" fillId="0" borderId="0" xfId="0" applyNumberFormat="1" applyFont="1"/>
    <xf numFmtId="0" fontId="0" fillId="9" borderId="8" xfId="0" applyFill="1" applyBorder="1"/>
    <xf numFmtId="0" fontId="0" fillId="9" borderId="13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0" xfId="0" applyFill="1"/>
    <xf numFmtId="0" fontId="0" fillId="9" borderId="11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2" xfId="0" applyFill="1" applyBorder="1"/>
    <xf numFmtId="0" fontId="16" fillId="0" borderId="0" xfId="0" applyFont="1"/>
    <xf numFmtId="0" fontId="3" fillId="8" borderId="14" xfId="0" applyFont="1" applyFill="1" applyBorder="1" applyAlignment="1">
      <alignment horizontal="center" vertical="center"/>
    </xf>
    <xf numFmtId="14" fontId="0" fillId="0" borderId="14" xfId="0" applyNumberFormat="1" applyBorder="1"/>
    <xf numFmtId="0" fontId="0" fillId="0" borderId="14" xfId="0" applyBorder="1"/>
    <xf numFmtId="0" fontId="0" fillId="10" borderId="14" xfId="0" applyFill="1" applyBorder="1"/>
    <xf numFmtId="14" fontId="0" fillId="0" borderId="0" xfId="0" applyNumberFormat="1"/>
    <xf numFmtId="164" fontId="0" fillId="10" borderId="0" xfId="0" applyNumberFormat="1" applyFill="1"/>
    <xf numFmtId="0" fontId="15" fillId="0" borderId="10" xfId="0" applyFont="1" applyBorder="1" applyAlignment="1">
      <alignment vertical="center"/>
    </xf>
    <xf numFmtId="0" fontId="0" fillId="12" borderId="8" xfId="0" applyFill="1" applyBorder="1"/>
    <xf numFmtId="0" fontId="0" fillId="12" borderId="13" xfId="0" applyFill="1" applyBorder="1"/>
    <xf numFmtId="0" fontId="0" fillId="12" borderId="9" xfId="0" applyFill="1" applyBorder="1"/>
    <xf numFmtId="0" fontId="0" fillId="12" borderId="15" xfId="0" applyFill="1" applyBorder="1"/>
    <xf numFmtId="0" fontId="0" fillId="12" borderId="16" xfId="0" applyFill="1" applyBorder="1"/>
    <xf numFmtId="0" fontId="0" fillId="12" borderId="12" xfId="0" applyFill="1" applyBorder="1"/>
    <xf numFmtId="0" fontId="3" fillId="11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164" fontId="0" fillId="0" borderId="0" xfId="0" applyNumberFormat="1"/>
    <xf numFmtId="0" fontId="17" fillId="0" borderId="0" xfId="0" applyFont="1"/>
    <xf numFmtId="0" fontId="18" fillId="14" borderId="0" xfId="0" applyFont="1" applyFill="1"/>
    <xf numFmtId="164" fontId="0" fillId="0" borderId="14" xfId="0" applyNumberFormat="1" applyBorder="1"/>
    <xf numFmtId="164" fontId="0" fillId="3" borderId="14" xfId="0" applyNumberFormat="1" applyFill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17" fillId="3" borderId="0" xfId="0" applyNumberFormat="1" applyFont="1" applyFill="1"/>
    <xf numFmtId="0" fontId="3" fillId="3" borderId="1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 wrapText="1"/>
    </xf>
    <xf numFmtId="164" fontId="0" fillId="16" borderId="14" xfId="0" applyNumberFormat="1" applyFill="1" applyBorder="1"/>
    <xf numFmtId="0" fontId="0" fillId="16" borderId="14" xfId="0" applyFill="1" applyBorder="1"/>
    <xf numFmtId="0" fontId="9" fillId="6" borderId="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left"/>
    </xf>
    <xf numFmtId="0" fontId="1" fillId="6" borderId="10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5" borderId="21" xfId="0" applyFill="1" applyBorder="1" applyAlignment="1">
      <alignment horizontal="left"/>
    </xf>
    <xf numFmtId="0" fontId="13" fillId="5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8" borderId="14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15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2">
    <dxf>
      <font>
        <sz val="11"/>
        <color rgb="FFFF0000"/>
        <name val="Calibri"/>
        <family val="2"/>
        <charset val="1"/>
      </font>
    </dxf>
    <dxf>
      <font>
        <sz val="11"/>
        <color rgb="FFFF66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369A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E03A3"/>
      <rgbColor rgb="FF800000"/>
      <rgbColor rgb="FF18A303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Bénéfice total par voiture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Décisionnel!$F$52</c:f>
              <c:strCache>
                <c:ptCount val="1"/>
                <c:pt idx="0">
                  <c:v>Bénéfice total</c:v>
                </c:pt>
              </c:strCache>
            </c:strRef>
          </c:tx>
          <c:spPr>
            <a:solidFill>
              <a:srgbClr val="18A303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E57-4AD3-8AB2-7654C2EE39D1}"/>
              </c:ext>
            </c:extLst>
          </c:dPt>
          <c:dPt>
            <c:idx val="1"/>
            <c:bubble3D val="0"/>
            <c:spPr>
              <a:solidFill>
                <a:srgbClr val="0369A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E57-4AD3-8AB2-7654C2EE39D1}"/>
              </c:ext>
            </c:extLst>
          </c:dPt>
          <c:dPt>
            <c:idx val="2"/>
            <c:bubble3D val="0"/>
            <c:spPr>
              <a:solidFill>
                <a:srgbClr val="A33E0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E57-4AD3-8AB2-7654C2EE39D1}"/>
              </c:ext>
            </c:extLst>
          </c:dPt>
          <c:dPt>
            <c:idx val="3"/>
            <c:bubble3D val="0"/>
            <c:spPr>
              <a:solidFill>
                <a:srgbClr val="8E03A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E57-4AD3-8AB2-7654C2EE39D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E57-4AD3-8AB2-7654C2EE39D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E57-4AD3-8AB2-7654C2EE39D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E57-4AD3-8AB2-7654C2EE39D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E57-4AD3-8AB2-7654C2EE39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Décisionnel!$A$53:$A$56</c:f>
              <c:strCache>
                <c:ptCount val="4"/>
                <c:pt idx="0">
                  <c:v>1 : Peugeot 406</c:v>
                </c:pt>
                <c:pt idx="1">
                  <c:v>2 : BMW série 3</c:v>
                </c:pt>
                <c:pt idx="2">
                  <c:v>3 : Renault mégane</c:v>
                </c:pt>
                <c:pt idx="3">
                  <c:v>4 : Renault clio</c:v>
                </c:pt>
              </c:strCache>
            </c:strRef>
          </c:cat>
          <c:val>
            <c:numRef>
              <c:f>Décisionnel!$F$53:$F$56</c:f>
              <c:numCache>
                <c:formatCode>#\ ##0.00" €"</c:formatCode>
                <c:ptCount val="4"/>
                <c:pt idx="0">
                  <c:v>72000</c:v>
                </c:pt>
                <c:pt idx="1">
                  <c:v>8000</c:v>
                </c:pt>
                <c:pt idx="2">
                  <c:v>60000</c:v>
                </c:pt>
                <c:pt idx="3">
                  <c:v>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57-4AD3-8AB2-7654C2EE3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51</xdr:row>
      <xdr:rowOff>0</xdr:rowOff>
    </xdr:from>
    <xdr:to>
      <xdr:col>12</xdr:col>
      <xdr:colOff>461520</xdr:colOff>
      <xdr:row>65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Normal="100" workbookViewId="0">
      <selection activeCell="D3" sqref="D3"/>
    </sheetView>
  </sheetViews>
  <sheetFormatPr baseColWidth="10" defaultColWidth="11" defaultRowHeight="15" customHeight="1"/>
  <cols>
    <col min="1" max="1" width="16.140625" customWidth="1"/>
    <col min="2" max="2" width="21.7109375" customWidth="1"/>
    <col min="4" max="4" width="14" customWidth="1"/>
    <col min="5" max="5" width="15" customWidth="1"/>
    <col min="6" max="6" width="12.42578125" customWidth="1"/>
  </cols>
  <sheetData>
    <row r="1" spans="1:9" ht="15" customHeight="1">
      <c r="A1" s="15" t="s">
        <v>0</v>
      </c>
      <c r="B1" s="15"/>
      <c r="C1" s="15"/>
      <c r="D1" s="15"/>
      <c r="E1" s="15"/>
      <c r="F1" s="15"/>
    </row>
    <row r="2" spans="1:9" ht="15" customHeight="1">
      <c r="A2" s="16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8" t="s">
        <v>6</v>
      </c>
    </row>
    <row r="3" spans="1:9" ht="15" customHeight="1">
      <c r="A3" s="19">
        <v>1</v>
      </c>
      <c r="B3" s="20" t="s">
        <v>7</v>
      </c>
      <c r="C3" s="20" t="s">
        <v>8</v>
      </c>
      <c r="D3" s="21">
        <v>21530</v>
      </c>
      <c r="E3" s="21" t="s">
        <v>9</v>
      </c>
      <c r="F3" s="22">
        <v>4000</v>
      </c>
      <c r="I3">
        <v>5</v>
      </c>
    </row>
    <row r="4" spans="1:9" ht="15" customHeight="1">
      <c r="A4" s="23">
        <v>2</v>
      </c>
      <c r="B4" s="24" t="s">
        <v>10</v>
      </c>
      <c r="C4" s="24" t="s">
        <v>11</v>
      </c>
      <c r="D4" s="25">
        <v>27437</v>
      </c>
      <c r="E4" s="25" t="s">
        <v>12</v>
      </c>
      <c r="F4" s="26">
        <v>2000</v>
      </c>
    </row>
    <row r="5" spans="1:9" ht="15" customHeight="1">
      <c r="A5" s="19">
        <v>3</v>
      </c>
      <c r="B5" s="20" t="s">
        <v>13</v>
      </c>
      <c r="C5" s="20" t="s">
        <v>14</v>
      </c>
      <c r="D5" s="21">
        <v>19371</v>
      </c>
      <c r="E5" s="21" t="s">
        <v>15</v>
      </c>
      <c r="F5" s="22">
        <v>5000</v>
      </c>
    </row>
    <row r="6" spans="1:9" ht="15" customHeight="1">
      <c r="A6" s="23">
        <v>4</v>
      </c>
      <c r="B6" s="24" t="s">
        <v>16</v>
      </c>
      <c r="C6" s="24" t="s">
        <v>17</v>
      </c>
      <c r="D6" s="25">
        <v>30918</v>
      </c>
      <c r="E6" s="25" t="s">
        <v>18</v>
      </c>
      <c r="F6" s="26">
        <v>2500</v>
      </c>
    </row>
    <row r="7" spans="1:9" ht="15" customHeight="1">
      <c r="A7" s="19">
        <v>5</v>
      </c>
      <c r="B7" s="20" t="s">
        <v>19</v>
      </c>
      <c r="C7" s="20" t="s">
        <v>20</v>
      </c>
      <c r="D7" s="21">
        <v>18305</v>
      </c>
      <c r="E7" s="21" t="s">
        <v>21</v>
      </c>
      <c r="F7" s="22">
        <v>10000</v>
      </c>
    </row>
    <row r="8" spans="1:9" ht="15" customHeight="1">
      <c r="A8" s="23">
        <v>6</v>
      </c>
      <c r="B8" s="24" t="s">
        <v>22</v>
      </c>
      <c r="C8" s="24" t="s">
        <v>8</v>
      </c>
      <c r="D8" s="25">
        <v>29231</v>
      </c>
      <c r="E8" s="25" t="s">
        <v>23</v>
      </c>
      <c r="F8" s="26">
        <v>2800</v>
      </c>
    </row>
    <row r="9" spans="1:9" ht="15" customHeight="1">
      <c r="A9" s="19">
        <v>7</v>
      </c>
      <c r="B9" s="20" t="s">
        <v>24</v>
      </c>
      <c r="C9" s="20" t="s">
        <v>25</v>
      </c>
      <c r="D9" s="21">
        <v>27637</v>
      </c>
      <c r="E9" s="21" t="s">
        <v>23</v>
      </c>
      <c r="F9" s="22">
        <v>3000</v>
      </c>
    </row>
    <row r="10" spans="1:9" ht="15" customHeight="1">
      <c r="A10" s="23">
        <v>8</v>
      </c>
      <c r="B10" s="24" t="s">
        <v>26</v>
      </c>
      <c r="C10" s="24" t="s">
        <v>27</v>
      </c>
      <c r="D10" s="25">
        <v>29638</v>
      </c>
      <c r="E10" s="25" t="s">
        <v>23</v>
      </c>
      <c r="F10" s="26">
        <v>2600</v>
      </c>
    </row>
    <row r="12" spans="1:9" ht="15" customHeight="1">
      <c r="A12" s="15" t="s">
        <v>28</v>
      </c>
      <c r="B12" s="27"/>
      <c r="C12" s="27"/>
      <c r="D12" s="27"/>
      <c r="E12" s="27"/>
      <c r="F12" s="27"/>
    </row>
    <row r="13" spans="1:9" ht="15" customHeight="1">
      <c r="A13" s="16" t="s">
        <v>29</v>
      </c>
      <c r="B13" s="17" t="s">
        <v>2</v>
      </c>
      <c r="C13" s="17" t="s">
        <v>30</v>
      </c>
      <c r="D13" s="18" t="s">
        <v>31</v>
      </c>
    </row>
    <row r="14" spans="1:9" ht="15" customHeight="1">
      <c r="A14" s="19">
        <v>1</v>
      </c>
      <c r="B14" s="20" t="s">
        <v>32</v>
      </c>
      <c r="C14" s="20">
        <v>21000</v>
      </c>
      <c r="D14" s="22">
        <v>19000</v>
      </c>
    </row>
    <row r="15" spans="1:9" ht="15" customHeight="1">
      <c r="A15" s="23">
        <v>2</v>
      </c>
      <c r="B15" s="24" t="s">
        <v>33</v>
      </c>
      <c r="C15" s="24">
        <v>32000</v>
      </c>
      <c r="D15" s="26">
        <v>31000</v>
      </c>
    </row>
    <row r="16" spans="1:9" ht="15" customHeight="1">
      <c r="A16" s="19">
        <v>3</v>
      </c>
      <c r="B16" s="20" t="s">
        <v>34</v>
      </c>
      <c r="C16" s="20">
        <v>15000</v>
      </c>
      <c r="D16" s="22">
        <v>12000</v>
      </c>
    </row>
    <row r="17" spans="1:6" ht="15" customHeight="1">
      <c r="A17" s="23">
        <v>4</v>
      </c>
      <c r="B17" s="24" t="s">
        <v>35</v>
      </c>
      <c r="C17" s="24">
        <v>10000</v>
      </c>
      <c r="D17" s="26">
        <v>7000</v>
      </c>
    </row>
    <row r="19" spans="1:6" ht="15" customHeight="1">
      <c r="A19" s="15" t="s">
        <v>36</v>
      </c>
      <c r="B19" s="27"/>
      <c r="C19" s="27"/>
      <c r="D19" s="27"/>
      <c r="E19" s="27"/>
      <c r="F19" s="27"/>
    </row>
    <row r="20" spans="1:6" ht="15" customHeight="1">
      <c r="A20" s="16" t="s">
        <v>2</v>
      </c>
      <c r="B20" s="17" t="s">
        <v>37</v>
      </c>
      <c r="C20" s="17" t="s">
        <v>38</v>
      </c>
      <c r="D20" s="17" t="s">
        <v>39</v>
      </c>
      <c r="E20" s="18" t="s">
        <v>40</v>
      </c>
    </row>
    <row r="21" spans="1:6" ht="30" customHeight="1">
      <c r="A21" s="28" t="s">
        <v>41</v>
      </c>
      <c r="B21" s="20" t="s">
        <v>42</v>
      </c>
      <c r="C21" s="20">
        <v>78200</v>
      </c>
      <c r="D21" s="20" t="s">
        <v>43</v>
      </c>
      <c r="E21" s="29">
        <v>15478652333214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3"/>
  <sheetViews>
    <sheetView zoomScaleNormal="100" workbookViewId="0">
      <selection activeCell="D3" sqref="D3:F3"/>
    </sheetView>
  </sheetViews>
  <sheetFormatPr baseColWidth="10" defaultColWidth="11" defaultRowHeight="15" customHeight="1"/>
  <cols>
    <col min="1" max="1" width="1.5703125" customWidth="1"/>
    <col min="7" max="7" width="14.42578125" customWidth="1"/>
    <col min="8" max="8" width="14" customWidth="1"/>
    <col min="9" max="9" width="12.5703125" customWidth="1"/>
    <col min="11" max="11" width="16" customWidth="1"/>
  </cols>
  <sheetData>
    <row r="1" spans="2:11" ht="18.75" customHeight="1">
      <c r="B1" s="14" t="s">
        <v>44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6.5" customHeight="1">
      <c r="B2" s="13" t="s">
        <v>45</v>
      </c>
      <c r="C2" s="13"/>
      <c r="D2" s="13"/>
      <c r="E2" s="13"/>
      <c r="F2" s="13"/>
      <c r="G2" s="13" t="s">
        <v>46</v>
      </c>
      <c r="H2" s="13"/>
      <c r="I2" s="13"/>
      <c r="J2" s="13"/>
      <c r="K2" s="13"/>
    </row>
    <row r="3" spans="2:11" ht="15.75" customHeight="1">
      <c r="B3" s="12" t="s">
        <v>47</v>
      </c>
      <c r="C3" s="12"/>
      <c r="D3" s="11" t="str">
        <f>'BDD unique'!A21</f>
        <v>Concessionnaire Senghor</v>
      </c>
      <c r="E3" s="11"/>
      <c r="F3" s="11"/>
      <c r="G3" s="12" t="s">
        <v>48</v>
      </c>
      <c r="H3" s="12"/>
      <c r="I3" s="10">
        <v>5</v>
      </c>
      <c r="J3" s="10"/>
      <c r="K3" s="10"/>
    </row>
    <row r="4" spans="2:11" ht="15.75" customHeight="1">
      <c r="B4" s="30" t="s">
        <v>49</v>
      </c>
      <c r="C4" s="31"/>
      <c r="D4" s="32" t="str">
        <f>'BDD unique'!B21</f>
        <v>Place Pierre Beregovoy</v>
      </c>
      <c r="E4" s="33"/>
      <c r="F4" s="34"/>
      <c r="G4" s="30" t="s">
        <v>50</v>
      </c>
      <c r="H4" s="31"/>
      <c r="I4" s="9" t="str">
        <f>CONCATENATE(VLOOKUP(I3,'BDD unique'!A3:F10,2,FALSE())," ",VLOOKUP(I3,'BDD unique'!A3:F10,3,FALSE()))</f>
        <v>Hollande François</v>
      </c>
      <c r="J4" s="9"/>
      <c r="K4" s="9"/>
    </row>
    <row r="5" spans="2:11" ht="15.75" customHeight="1">
      <c r="B5" s="30" t="s">
        <v>51</v>
      </c>
      <c r="C5" s="31"/>
      <c r="D5" s="8" t="str">
        <f>CONCATENATE('BDD unique'!C21," ",'BDD unique'!D21)</f>
        <v>78200 MAGNANVILLE</v>
      </c>
      <c r="E5" s="8"/>
      <c r="F5" s="8"/>
      <c r="G5" s="7" t="s">
        <v>52</v>
      </c>
      <c r="H5" s="7"/>
      <c r="I5" s="6">
        <v>21530</v>
      </c>
      <c r="J5" s="6"/>
      <c r="K5" s="6"/>
    </row>
    <row r="6" spans="2:11" ht="15.75" customHeight="1">
      <c r="B6" s="7" t="s">
        <v>53</v>
      </c>
      <c r="C6" s="7"/>
      <c r="D6" s="5">
        <f>'BDD unique'!E21</f>
        <v>15478652333214</v>
      </c>
      <c r="E6" s="5"/>
      <c r="F6" s="5"/>
      <c r="G6" s="7" t="s">
        <v>5</v>
      </c>
      <c r="H6" s="7"/>
      <c r="I6" s="4" t="str">
        <f>VLOOKUP(I3,'BDD unique'!A3:F10,5,FALSE())</f>
        <v>PDG</v>
      </c>
      <c r="J6" s="4"/>
      <c r="K6" s="4"/>
    </row>
    <row r="7" spans="2:11" ht="15.75" customHeight="1">
      <c r="B7" s="35"/>
      <c r="C7" s="36"/>
      <c r="D7" s="36"/>
      <c r="E7" s="36"/>
      <c r="F7" s="37"/>
      <c r="G7" s="36"/>
      <c r="H7" s="36"/>
      <c r="I7" s="3"/>
      <c r="J7" s="3"/>
      <c r="K7" s="3"/>
    </row>
    <row r="8" spans="2:11" ht="7.5" customHeight="1">
      <c r="B8" s="38"/>
      <c r="C8" s="39"/>
      <c r="D8" s="39"/>
      <c r="E8" s="39"/>
      <c r="F8" s="39"/>
      <c r="G8" s="39"/>
      <c r="H8" s="39"/>
      <c r="I8" s="40"/>
      <c r="J8" s="40"/>
      <c r="K8" s="41"/>
    </row>
    <row r="9" spans="2:11" ht="15.75" customHeight="1">
      <c r="B9" s="2" t="s">
        <v>54</v>
      </c>
      <c r="C9" s="2"/>
      <c r="D9" s="2"/>
      <c r="E9" s="2"/>
      <c r="F9" s="2"/>
      <c r="G9" s="42">
        <f>VLOOKUP(I3,'BDD unique'!A3:F10,6,FALSE())</f>
        <v>10000</v>
      </c>
      <c r="H9" s="43"/>
      <c r="I9" s="44"/>
      <c r="J9" s="43"/>
      <c r="K9" s="45"/>
    </row>
    <row r="10" spans="2:11" ht="9" customHeight="1">
      <c r="B10" s="46"/>
      <c r="C10" s="47"/>
      <c r="D10" s="47"/>
      <c r="E10" s="47"/>
      <c r="F10" s="47"/>
      <c r="G10" s="48"/>
      <c r="H10" s="49"/>
      <c r="I10" s="49"/>
      <c r="J10" s="49"/>
      <c r="K10" s="50"/>
    </row>
    <row r="11" spans="2:11" ht="15.75" customHeight="1">
      <c r="B11" s="51"/>
      <c r="C11" s="52"/>
      <c r="D11" s="52"/>
      <c r="E11" s="52"/>
      <c r="F11" s="52"/>
      <c r="G11" s="53"/>
      <c r="H11" s="36"/>
      <c r="I11" s="36"/>
      <c r="J11" s="36"/>
      <c r="K11" s="37"/>
    </row>
    <row r="12" spans="2:11" ht="8.25" customHeight="1">
      <c r="B12" s="54"/>
      <c r="C12" s="55"/>
      <c r="D12" s="55"/>
      <c r="E12" s="55"/>
      <c r="F12" s="55"/>
      <c r="G12" s="56"/>
      <c r="K12" s="57"/>
    </row>
    <row r="13" spans="2:11" ht="15.75" customHeight="1">
      <c r="B13" s="1" t="s">
        <v>55</v>
      </c>
      <c r="C13" s="1"/>
      <c r="D13" s="1"/>
      <c r="E13" s="1"/>
      <c r="F13" s="129" t="s">
        <v>56</v>
      </c>
      <c r="G13" s="129"/>
      <c r="H13" s="129"/>
      <c r="I13" s="129" t="s">
        <v>57</v>
      </c>
      <c r="J13" s="129"/>
      <c r="K13" s="129"/>
    </row>
    <row r="14" spans="2:11" ht="15.75" customHeight="1">
      <c r="B14" s="1"/>
      <c r="C14" s="1"/>
      <c r="D14" s="1"/>
      <c r="E14" s="1"/>
      <c r="F14" s="58" t="s">
        <v>58</v>
      </c>
      <c r="G14" s="58" t="s">
        <v>59</v>
      </c>
      <c r="H14" s="59" t="s">
        <v>60</v>
      </c>
      <c r="I14" s="59" t="s">
        <v>58</v>
      </c>
      <c r="J14" s="58" t="s">
        <v>59</v>
      </c>
      <c r="K14" s="60" t="s">
        <v>60</v>
      </c>
    </row>
    <row r="15" spans="2:11" ht="15" customHeight="1">
      <c r="B15" s="130" t="s">
        <v>61</v>
      </c>
      <c r="C15" s="130"/>
      <c r="D15" s="130"/>
      <c r="E15" s="130"/>
      <c r="F15" s="61">
        <f>$G$9*97%</f>
        <v>9700</v>
      </c>
      <c r="G15" s="62">
        <v>2.4E-2</v>
      </c>
      <c r="H15" s="63">
        <f>F15*G15</f>
        <v>232.8</v>
      </c>
      <c r="I15" s="61"/>
      <c r="J15" s="62"/>
      <c r="K15" s="45"/>
    </row>
    <row r="16" spans="2:11" ht="15" customHeight="1">
      <c r="B16" s="131" t="s">
        <v>62</v>
      </c>
      <c r="C16" s="131"/>
      <c r="D16" s="131"/>
      <c r="E16" s="131"/>
      <c r="F16" s="64">
        <f>$G$9*97%</f>
        <v>9700</v>
      </c>
      <c r="G16" s="65">
        <v>5.0000000000000001E-3</v>
      </c>
      <c r="H16" s="63">
        <f>F16*G16</f>
        <v>48.5</v>
      </c>
      <c r="I16" s="64"/>
      <c r="J16" s="65"/>
      <c r="K16" s="45"/>
    </row>
    <row r="17" spans="2:11" ht="15" customHeight="1">
      <c r="B17" s="131" t="s">
        <v>63</v>
      </c>
      <c r="C17" s="131"/>
      <c r="D17" s="131"/>
      <c r="E17" s="131"/>
      <c r="F17" s="64">
        <f>$G$9*97%</f>
        <v>9700</v>
      </c>
      <c r="G17" s="65">
        <v>5.0999999999999997E-2</v>
      </c>
      <c r="H17" s="63">
        <f>F17*G17</f>
        <v>494.7</v>
      </c>
      <c r="I17" s="64"/>
      <c r="J17" s="65"/>
      <c r="K17" s="45"/>
    </row>
    <row r="18" spans="2:11" ht="15" customHeight="1">
      <c r="B18" s="132" t="s">
        <v>64</v>
      </c>
      <c r="C18" s="132"/>
      <c r="D18" s="132"/>
      <c r="E18" s="132"/>
      <c r="F18" s="64"/>
      <c r="G18" s="65"/>
      <c r="H18" s="63"/>
      <c r="I18" s="64"/>
      <c r="J18" s="65"/>
      <c r="K18" s="45"/>
    </row>
    <row r="19" spans="2:11" ht="15" customHeight="1">
      <c r="B19" s="133" t="s">
        <v>65</v>
      </c>
      <c r="C19" s="133"/>
      <c r="D19" s="133"/>
      <c r="E19" s="133"/>
      <c r="F19" s="64">
        <f>$G$9</f>
        <v>10000</v>
      </c>
      <c r="G19" s="65">
        <v>7.4999999999999997E-3</v>
      </c>
      <c r="H19" s="63">
        <f>F19*G19</f>
        <v>75</v>
      </c>
      <c r="I19" s="64">
        <f>$G$9</f>
        <v>10000</v>
      </c>
      <c r="J19" s="65">
        <v>0.128</v>
      </c>
      <c r="K19" s="66">
        <f>I19*J19</f>
        <v>1280</v>
      </c>
    </row>
    <row r="20" spans="2:11" ht="15" customHeight="1">
      <c r="B20" s="131" t="s">
        <v>66</v>
      </c>
      <c r="C20" s="131"/>
      <c r="D20" s="131"/>
      <c r="E20" s="131"/>
      <c r="F20" s="64">
        <f>$G$9</f>
        <v>10000</v>
      </c>
      <c r="G20" s="65">
        <v>1E-3</v>
      </c>
      <c r="H20" s="63">
        <f>F20*G20</f>
        <v>10</v>
      </c>
      <c r="I20" s="64"/>
      <c r="J20" s="65"/>
      <c r="K20" s="66"/>
    </row>
    <row r="21" spans="2:11" ht="15" customHeight="1">
      <c r="B21" s="132" t="s">
        <v>67</v>
      </c>
      <c r="C21" s="132"/>
      <c r="D21" s="132"/>
      <c r="E21" s="132"/>
      <c r="F21" s="64"/>
      <c r="G21" s="65"/>
      <c r="H21" s="63"/>
      <c r="I21" s="64"/>
      <c r="J21" s="65"/>
      <c r="K21" s="66"/>
    </row>
    <row r="22" spans="2:11" ht="15" customHeight="1">
      <c r="B22" s="131" t="s">
        <v>68</v>
      </c>
      <c r="C22" s="131"/>
      <c r="D22" s="131"/>
      <c r="E22" s="131"/>
      <c r="F22" s="64">
        <f>$G$9</f>
        <v>10000</v>
      </c>
      <c r="G22" s="65">
        <v>6.5500000000000003E-2</v>
      </c>
      <c r="H22" s="63">
        <f>F22*G22</f>
        <v>655</v>
      </c>
      <c r="I22" s="64">
        <f>$G$9</f>
        <v>10000</v>
      </c>
      <c r="J22" s="65">
        <v>1.6E-2</v>
      </c>
      <c r="K22" s="66">
        <f>I22*J22</f>
        <v>160</v>
      </c>
    </row>
    <row r="23" spans="2:11" ht="15" customHeight="1">
      <c r="B23" s="131" t="s">
        <v>69</v>
      </c>
      <c r="C23" s="131"/>
      <c r="D23" s="131"/>
      <c r="E23" s="131"/>
      <c r="F23" s="64">
        <f>$G$9</f>
        <v>10000</v>
      </c>
      <c r="G23" s="65">
        <v>8.2000000000000003E-2</v>
      </c>
      <c r="H23" s="63">
        <f>F23*G23</f>
        <v>820</v>
      </c>
      <c r="I23" s="64">
        <f>$G$9</f>
        <v>10000</v>
      </c>
      <c r="J23" s="65">
        <v>8.2000000000000003E-2</v>
      </c>
      <c r="K23" s="66">
        <f>I23*J23</f>
        <v>820</v>
      </c>
    </row>
    <row r="24" spans="2:11" ht="15" customHeight="1">
      <c r="B24" s="131" t="s">
        <v>70</v>
      </c>
      <c r="C24" s="131"/>
      <c r="D24" s="131"/>
      <c r="E24" s="131"/>
      <c r="F24" s="64"/>
      <c r="G24" s="65"/>
      <c r="H24" s="63"/>
      <c r="I24" s="64">
        <f>$G$9</f>
        <v>10000</v>
      </c>
      <c r="J24" s="65">
        <v>7.2999999999999995E-2</v>
      </c>
      <c r="K24" s="66">
        <f>I24*J24</f>
        <v>730</v>
      </c>
    </row>
    <row r="25" spans="2:11" ht="15" customHeight="1">
      <c r="B25" s="131" t="s">
        <v>71</v>
      </c>
      <c r="C25" s="131"/>
      <c r="D25" s="131"/>
      <c r="E25" s="131"/>
      <c r="F25" s="64"/>
      <c r="G25" s="65"/>
      <c r="H25" s="63"/>
      <c r="I25" s="64">
        <f>$G$9</f>
        <v>10000</v>
      </c>
      <c r="J25" s="65">
        <v>5.3999999999999999E-2</v>
      </c>
      <c r="K25" s="66">
        <f>I25*J25</f>
        <v>540</v>
      </c>
    </row>
    <row r="26" spans="2:11" ht="15" customHeight="1">
      <c r="B26" s="132" t="s">
        <v>72</v>
      </c>
      <c r="C26" s="132"/>
      <c r="D26" s="132"/>
      <c r="E26" s="132"/>
      <c r="F26" s="64"/>
      <c r="G26" s="65"/>
      <c r="H26" s="63"/>
      <c r="I26" s="64"/>
      <c r="J26" s="65"/>
      <c r="K26" s="66"/>
    </row>
    <row r="27" spans="2:11" ht="15" customHeight="1">
      <c r="B27" s="131" t="s">
        <v>73</v>
      </c>
      <c r="C27" s="131"/>
      <c r="D27" s="131"/>
      <c r="E27" s="131"/>
      <c r="F27" s="64"/>
      <c r="G27" s="65"/>
      <c r="H27" s="63"/>
      <c r="I27" s="64">
        <f>$G$9</f>
        <v>10000</v>
      </c>
      <c r="J27" s="65">
        <v>4.0000000000000001E-3</v>
      </c>
      <c r="K27" s="66">
        <f>I27*J27</f>
        <v>40</v>
      </c>
    </row>
    <row r="28" spans="2:11" ht="15" customHeight="1">
      <c r="B28" s="131" t="s">
        <v>74</v>
      </c>
      <c r="C28" s="131"/>
      <c r="D28" s="131"/>
      <c r="E28" s="131"/>
      <c r="F28" s="64"/>
      <c r="G28" s="65"/>
      <c r="H28" s="63"/>
      <c r="I28" s="64">
        <f>$G$9</f>
        <v>10000</v>
      </c>
      <c r="J28" s="65">
        <v>1E-3</v>
      </c>
      <c r="K28" s="66">
        <f>I28*J28</f>
        <v>10</v>
      </c>
    </row>
    <row r="29" spans="2:11" ht="15" customHeight="1">
      <c r="B29" s="132" t="s">
        <v>75</v>
      </c>
      <c r="C29" s="132"/>
      <c r="D29" s="132"/>
      <c r="E29" s="132"/>
      <c r="F29" s="67"/>
      <c r="G29" s="67"/>
      <c r="H29" s="63"/>
      <c r="I29" s="64"/>
      <c r="J29" s="65"/>
      <c r="K29" s="66"/>
    </row>
    <row r="30" spans="2:11" ht="15" customHeight="1">
      <c r="B30" s="131" t="s">
        <v>76</v>
      </c>
      <c r="C30" s="131"/>
      <c r="D30" s="131"/>
      <c r="E30" s="131"/>
      <c r="F30" s="64">
        <f>IF(I9&gt;0,I9,0)</f>
        <v>0</v>
      </c>
      <c r="G30" s="65">
        <v>2.4E-2</v>
      </c>
      <c r="H30" s="63">
        <f>F30*G30</f>
        <v>0</v>
      </c>
      <c r="I30" s="64">
        <f>F30</f>
        <v>0</v>
      </c>
      <c r="J30" s="65">
        <v>0.04</v>
      </c>
      <c r="K30" s="66">
        <f>I30*J30</f>
        <v>0</v>
      </c>
    </row>
    <row r="31" spans="2:11" ht="15" customHeight="1">
      <c r="B31" s="131" t="s">
        <v>77</v>
      </c>
      <c r="C31" s="131"/>
      <c r="D31" s="131"/>
      <c r="E31" s="131"/>
      <c r="F31" s="68"/>
      <c r="G31" s="65"/>
      <c r="H31" s="63"/>
      <c r="I31" s="64">
        <f>$G$9</f>
        <v>10000</v>
      </c>
      <c r="J31" s="65">
        <v>4.0000000000000001E-3</v>
      </c>
      <c r="K31" s="66">
        <f>I31*J31</f>
        <v>40</v>
      </c>
    </row>
    <row r="32" spans="2:11" ht="15" customHeight="1">
      <c r="B32" s="132" t="s">
        <v>78</v>
      </c>
      <c r="C32" s="132"/>
      <c r="D32" s="132"/>
      <c r="E32" s="132"/>
      <c r="F32" s="64"/>
      <c r="G32" s="65"/>
      <c r="H32" s="63"/>
      <c r="I32" s="64"/>
      <c r="J32" s="69"/>
      <c r="K32" s="70"/>
    </row>
    <row r="33" spans="2:11" ht="15" customHeight="1">
      <c r="B33" s="131" t="s">
        <v>79</v>
      </c>
      <c r="C33" s="131"/>
      <c r="D33" s="131"/>
      <c r="E33" s="131"/>
      <c r="F33" s="64">
        <f>F30</f>
        <v>0</v>
      </c>
      <c r="G33" s="65">
        <v>8.4000000000000005E-2</v>
      </c>
      <c r="H33" s="63">
        <f>F33*G33</f>
        <v>0</v>
      </c>
      <c r="I33" s="64">
        <f>F33</f>
        <v>0</v>
      </c>
      <c r="J33" s="65">
        <v>0.13800000000000001</v>
      </c>
      <c r="K33" s="66">
        <f>I33*J33</f>
        <v>0</v>
      </c>
    </row>
    <row r="34" spans="2:11" ht="15" customHeight="1">
      <c r="B34" s="133" t="s">
        <v>80</v>
      </c>
      <c r="C34" s="133"/>
      <c r="D34" s="133"/>
      <c r="E34" s="133"/>
      <c r="F34" s="64">
        <f>$G$9</f>
        <v>10000</v>
      </c>
      <c r="G34" s="65">
        <v>2.4000000000000001E-4</v>
      </c>
      <c r="H34" s="63">
        <f>F34*G34</f>
        <v>2.4</v>
      </c>
      <c r="I34" s="64">
        <f>$G$9</f>
        <v>10000</v>
      </c>
      <c r="J34" s="65">
        <v>3.6000000000000002E-4</v>
      </c>
      <c r="K34" s="66">
        <f>I34*J34</f>
        <v>3.6</v>
      </c>
    </row>
    <row r="35" spans="2:11" ht="15" customHeight="1">
      <c r="B35" s="133" t="s">
        <v>81</v>
      </c>
      <c r="C35" s="133"/>
      <c r="D35" s="133"/>
      <c r="E35" s="133"/>
      <c r="F35" s="64"/>
      <c r="G35" s="65"/>
      <c r="H35" s="63"/>
      <c r="I35" s="64">
        <f>$G$9</f>
        <v>10000</v>
      </c>
      <c r="J35" s="65">
        <v>1.4999999999999999E-2</v>
      </c>
      <c r="K35" s="66">
        <f>I35*J35</f>
        <v>150</v>
      </c>
    </row>
    <row r="36" spans="2:11" ht="15.75" customHeight="1">
      <c r="B36" s="134" t="s">
        <v>82</v>
      </c>
      <c r="C36" s="134"/>
      <c r="D36" s="134"/>
      <c r="E36" s="134"/>
      <c r="F36" s="71">
        <f>$G$9</f>
        <v>10000</v>
      </c>
      <c r="G36" s="72">
        <v>1.2999999999999999E-3</v>
      </c>
      <c r="H36" s="48">
        <f>F36*G36</f>
        <v>13</v>
      </c>
      <c r="I36" s="71">
        <f>$G$9</f>
        <v>10000</v>
      </c>
      <c r="J36" s="72">
        <v>2.2000000000000001E-3</v>
      </c>
      <c r="K36" s="66">
        <f>I36*J36</f>
        <v>22</v>
      </c>
    </row>
    <row r="37" spans="2:11" ht="16.5" customHeight="1">
      <c r="B37" s="13" t="s">
        <v>83</v>
      </c>
      <c r="C37" s="13"/>
      <c r="D37" s="13"/>
      <c r="E37" s="13"/>
      <c r="H37" s="73">
        <f>SUM(H15:H36)</f>
        <v>2351.4</v>
      </c>
      <c r="K37" s="74">
        <f>SUM(K15:K36)</f>
        <v>3795.6</v>
      </c>
    </row>
    <row r="38" spans="2:11" ht="6.75" customHeight="1">
      <c r="B38" s="135"/>
      <c r="C38" s="135"/>
      <c r="D38" s="135"/>
      <c r="E38" s="135"/>
      <c r="K38" s="57"/>
    </row>
    <row r="39" spans="2:11" ht="15.75" customHeight="1">
      <c r="B39" s="136"/>
      <c r="C39" s="136"/>
      <c r="D39" s="136"/>
      <c r="E39" s="136"/>
      <c r="F39" s="75"/>
      <c r="G39" s="75"/>
      <c r="H39" s="75"/>
      <c r="I39" s="75"/>
      <c r="J39" s="75"/>
      <c r="K39" s="76"/>
    </row>
    <row r="40" spans="2:11" ht="5.25" customHeight="1">
      <c r="B40" s="54"/>
      <c r="C40" s="55"/>
      <c r="D40" s="55"/>
      <c r="E40" s="55"/>
      <c r="K40" s="57"/>
    </row>
    <row r="41" spans="2:11" ht="21" customHeight="1">
      <c r="B41" s="77"/>
      <c r="C41" s="78"/>
      <c r="D41" s="78"/>
      <c r="E41" s="78"/>
      <c r="G41" s="57"/>
      <c r="H41" s="79" t="s">
        <v>84</v>
      </c>
      <c r="I41" s="80"/>
      <c r="J41" s="80"/>
      <c r="K41" s="81">
        <f>G9-H37</f>
        <v>7648.6</v>
      </c>
    </row>
    <row r="42" spans="2:11" ht="7.5" customHeight="1">
      <c r="B42" s="77"/>
      <c r="C42" s="78"/>
      <c r="D42" s="78"/>
      <c r="E42" s="78"/>
      <c r="H42" s="78"/>
      <c r="K42" s="82"/>
    </row>
    <row r="43" spans="2:11" ht="16.5" customHeight="1">
      <c r="B43" s="83"/>
      <c r="C43" s="78"/>
      <c r="D43" s="78"/>
      <c r="E43" s="78"/>
      <c r="H43" s="84" t="s">
        <v>85</v>
      </c>
      <c r="I43" s="85"/>
      <c r="J43" s="85"/>
      <c r="K43" s="86">
        <f>K41+H15</f>
        <v>7881.4000000000005</v>
      </c>
    </row>
    <row r="44" spans="2:11" ht="4.5" customHeight="1">
      <c r="B44" s="77"/>
      <c r="C44" s="78"/>
      <c r="D44" s="78"/>
      <c r="E44" s="78"/>
      <c r="H44" s="87"/>
      <c r="K44" s="57"/>
    </row>
    <row r="45" spans="2:11" ht="15.75" customHeight="1">
      <c r="B45" s="137" t="s">
        <v>86</v>
      </c>
      <c r="C45" s="137"/>
      <c r="D45" s="137"/>
      <c r="E45" s="137"/>
      <c r="F45" s="137"/>
      <c r="G45" s="137"/>
      <c r="H45" s="137"/>
      <c r="I45" s="137"/>
      <c r="J45" s="137"/>
      <c r="K45" s="137"/>
    </row>
    <row r="46" spans="2:11" ht="7.5" customHeight="1"/>
    <row r="47" spans="2:11" ht="6.75" customHeight="1"/>
    <row r="53" spans="2:7" ht="15.75" customHeight="1">
      <c r="B53" s="138"/>
      <c r="C53" s="138"/>
      <c r="D53" s="138"/>
      <c r="E53" s="138"/>
      <c r="F53" s="138"/>
      <c r="G53" s="138"/>
    </row>
  </sheetData>
  <mergeCells count="47">
    <mergeCell ref="B45:K45"/>
    <mergeCell ref="B53:G53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20:E20"/>
    <mergeCell ref="B21:E21"/>
    <mergeCell ref="B22:E22"/>
    <mergeCell ref="B23:E23"/>
    <mergeCell ref="B24:E24"/>
    <mergeCell ref="B15:E15"/>
    <mergeCell ref="B16:E16"/>
    <mergeCell ref="B17:E17"/>
    <mergeCell ref="B18:E18"/>
    <mergeCell ref="B19:E19"/>
    <mergeCell ref="I7:K7"/>
    <mergeCell ref="B9:F9"/>
    <mergeCell ref="B13:E14"/>
    <mergeCell ref="F13:H13"/>
    <mergeCell ref="I13:K13"/>
    <mergeCell ref="I4:K4"/>
    <mergeCell ref="D5:F5"/>
    <mergeCell ref="G5:H5"/>
    <mergeCell ref="I5:K5"/>
    <mergeCell ref="B6:C6"/>
    <mergeCell ref="D6:F6"/>
    <mergeCell ref="G6:H6"/>
    <mergeCell ref="I6:K6"/>
    <mergeCell ref="B1:K1"/>
    <mergeCell ref="B2:F2"/>
    <mergeCell ref="G2:K2"/>
    <mergeCell ref="B3:C3"/>
    <mergeCell ref="D3:F3"/>
    <mergeCell ref="G3:H3"/>
    <mergeCell ref="I3:K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zoomScaleNormal="100" workbookViewId="0">
      <selection activeCell="F20" sqref="F20"/>
    </sheetView>
  </sheetViews>
  <sheetFormatPr baseColWidth="10" defaultColWidth="11" defaultRowHeight="15" customHeight="1"/>
  <cols>
    <col min="1" max="1" width="10.7109375" customWidth="1"/>
    <col min="2" max="2" width="18.28515625" customWidth="1"/>
    <col min="3" max="3" width="21.5703125" customWidth="1"/>
    <col min="4" max="4" width="13.5703125" customWidth="1"/>
    <col min="5" max="5" width="17.5703125" customWidth="1"/>
    <col min="6" max="6" width="14" customWidth="1"/>
    <col min="8" max="8" width="28" customWidth="1"/>
    <col min="9" max="9" width="14.28515625" customWidth="1"/>
    <col min="15" max="15" width="18" customWidth="1"/>
  </cols>
  <sheetData>
    <row r="1" spans="1:20" ht="42" customHeight="1">
      <c r="A1" s="139" t="s">
        <v>87</v>
      </c>
      <c r="B1" s="139"/>
      <c r="C1" s="139"/>
      <c r="D1" s="139"/>
      <c r="E1" s="139"/>
      <c r="F1" s="139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.75" customHeight="1"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ht="15" customHeight="1">
      <c r="A3" s="88" t="s">
        <v>88</v>
      </c>
      <c r="B3" s="89"/>
      <c r="C3" s="90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ht="15" customHeight="1">
      <c r="A4" s="91" t="s">
        <v>89</v>
      </c>
      <c r="B4" s="92"/>
      <c r="C4" s="93"/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 ht="15.75" customHeight="1">
      <c r="A5" s="94" t="s">
        <v>90</v>
      </c>
      <c r="B5" s="95"/>
      <c r="C5" s="96"/>
    </row>
    <row r="7" spans="1:20" ht="3.75" customHeight="1"/>
    <row r="8" spans="1:20" ht="3.75" customHeight="1"/>
    <row r="9" spans="1:20" ht="15" customHeight="1">
      <c r="A9" s="97" t="s">
        <v>91</v>
      </c>
    </row>
    <row r="10" spans="1:20" ht="15" customHeight="1">
      <c r="A10" s="98" t="s">
        <v>92</v>
      </c>
      <c r="B10" s="98" t="s">
        <v>93</v>
      </c>
      <c r="C10" s="98" t="s">
        <v>94</v>
      </c>
      <c r="D10" s="98" t="s">
        <v>95</v>
      </c>
      <c r="E10" s="98" t="s">
        <v>96</v>
      </c>
      <c r="F10" s="98" t="s">
        <v>97</v>
      </c>
    </row>
    <row r="11" spans="1:20" ht="15" customHeight="1">
      <c r="A11" s="99">
        <v>42009</v>
      </c>
      <c r="B11" s="100">
        <v>2</v>
      </c>
      <c r="C11" s="100">
        <v>2</v>
      </c>
      <c r="D11" s="100">
        <v>7</v>
      </c>
      <c r="E11" s="101">
        <f>VLOOKUP(B11,'BDD unique'!A14:D17,3,FALSE())</f>
        <v>32000</v>
      </c>
      <c r="F11" s="101">
        <f t="shared" ref="F11:F23" si="0">C11*E11</f>
        <v>64000</v>
      </c>
    </row>
    <row r="12" spans="1:20" ht="15" customHeight="1">
      <c r="A12" s="99">
        <v>42010</v>
      </c>
      <c r="B12" s="100">
        <v>1</v>
      </c>
      <c r="C12" s="100">
        <v>2</v>
      </c>
      <c r="D12" s="100">
        <v>8</v>
      </c>
      <c r="E12" s="101">
        <f>VLOOKUP(B12,'BDD unique'!A14:D17,3,FALSE())</f>
        <v>21000</v>
      </c>
      <c r="F12" s="101">
        <f t="shared" si="0"/>
        <v>42000</v>
      </c>
    </row>
    <row r="13" spans="1:20" ht="15" customHeight="1">
      <c r="A13" s="99">
        <v>42011</v>
      </c>
      <c r="B13" s="100">
        <v>3</v>
      </c>
      <c r="C13" s="100">
        <v>15</v>
      </c>
      <c r="D13" s="100">
        <v>6</v>
      </c>
      <c r="E13" s="101">
        <f>VLOOKUP(B13,'BDD unique'!A14:D17,3,FALSE())</f>
        <v>15000</v>
      </c>
      <c r="F13" s="101">
        <f t="shared" si="0"/>
        <v>225000</v>
      </c>
    </row>
    <row r="14" spans="1:20" ht="15" customHeight="1">
      <c r="A14" s="99">
        <v>42012</v>
      </c>
      <c r="B14" s="100">
        <v>4</v>
      </c>
      <c r="C14" s="100">
        <v>10</v>
      </c>
      <c r="D14" s="100">
        <v>6</v>
      </c>
      <c r="E14" s="101">
        <f>VLOOKUP(B14,'BDD unique'!A14:D17,3,FALSE())</f>
        <v>10000</v>
      </c>
      <c r="F14" s="101">
        <f t="shared" si="0"/>
        <v>100000</v>
      </c>
    </row>
    <row r="15" spans="1:20" ht="15" customHeight="1">
      <c r="A15" s="99">
        <v>42013</v>
      </c>
      <c r="B15" s="100">
        <v>1</v>
      </c>
      <c r="C15" s="100">
        <v>10</v>
      </c>
      <c r="D15" s="100">
        <v>8</v>
      </c>
      <c r="E15" s="101">
        <f>VLOOKUP(B15,'BDD unique'!A14:D17,3,FALSE())</f>
        <v>21000</v>
      </c>
      <c r="F15" s="101">
        <f t="shared" si="0"/>
        <v>210000</v>
      </c>
    </row>
    <row r="16" spans="1:20" ht="15" customHeight="1">
      <c r="A16" s="99">
        <v>42014</v>
      </c>
      <c r="B16" s="100">
        <v>2</v>
      </c>
      <c r="C16" s="100">
        <v>3</v>
      </c>
      <c r="D16" s="100">
        <v>8</v>
      </c>
      <c r="E16" s="101">
        <f>VLOOKUP(B16,'BDD unique'!A14:D17,3,FALSE())</f>
        <v>32000</v>
      </c>
      <c r="F16" s="101">
        <f t="shared" si="0"/>
        <v>96000</v>
      </c>
    </row>
    <row r="17" spans="1:6" ht="15" customHeight="1">
      <c r="A17" s="99">
        <v>42015</v>
      </c>
      <c r="B17" s="100">
        <v>1</v>
      </c>
      <c r="C17" s="100">
        <v>4</v>
      </c>
      <c r="D17" s="100">
        <v>7</v>
      </c>
      <c r="E17" s="101">
        <f>VLOOKUP(B17,'BDD unique'!A14:D17,3,FALSE())</f>
        <v>21000</v>
      </c>
      <c r="F17" s="101">
        <f t="shared" si="0"/>
        <v>84000</v>
      </c>
    </row>
    <row r="18" spans="1:6" ht="15" customHeight="1">
      <c r="A18" s="99">
        <v>42016</v>
      </c>
      <c r="B18" s="100">
        <v>4</v>
      </c>
      <c r="C18" s="100">
        <v>10</v>
      </c>
      <c r="D18" s="100">
        <v>8</v>
      </c>
      <c r="E18" s="101">
        <f>VLOOKUP(B18,'BDD unique'!A14:D17,3,FALSE())</f>
        <v>10000</v>
      </c>
      <c r="F18" s="101">
        <f t="shared" si="0"/>
        <v>100000</v>
      </c>
    </row>
    <row r="19" spans="1:6" ht="15" customHeight="1">
      <c r="A19" s="99">
        <v>42017</v>
      </c>
      <c r="B19" s="100">
        <v>1</v>
      </c>
      <c r="C19" s="100">
        <v>10</v>
      </c>
      <c r="D19" s="100">
        <v>7</v>
      </c>
      <c r="E19" s="101">
        <f>VLOOKUP(B19,'BDD unique'!A14:D17,3,FALSE())</f>
        <v>21000</v>
      </c>
      <c r="F19" s="101">
        <f t="shared" si="0"/>
        <v>210000</v>
      </c>
    </row>
    <row r="20" spans="1:6" ht="15" customHeight="1">
      <c r="A20" s="99">
        <v>42018</v>
      </c>
      <c r="B20" s="100">
        <v>2</v>
      </c>
      <c r="C20" s="100">
        <v>3</v>
      </c>
      <c r="D20" s="100">
        <v>6</v>
      </c>
      <c r="E20" s="101">
        <f>VLOOKUP(B20,'BDD unique'!A14:D17,3,FALSE())</f>
        <v>32000</v>
      </c>
      <c r="F20" s="101">
        <f t="shared" si="0"/>
        <v>96000</v>
      </c>
    </row>
    <row r="21" spans="1:6" ht="15" customHeight="1">
      <c r="A21" s="102">
        <v>42019</v>
      </c>
      <c r="B21">
        <v>3</v>
      </c>
      <c r="C21">
        <v>5</v>
      </c>
      <c r="D21">
        <v>6</v>
      </c>
      <c r="E21">
        <f>VLOOKUP(B21,'BDD unique'!A14:D17,3,FALSE())</f>
        <v>15000</v>
      </c>
      <c r="F21">
        <f t="shared" si="0"/>
        <v>75000</v>
      </c>
    </row>
    <row r="22" spans="1:6" ht="15" customHeight="1">
      <c r="A22" s="102">
        <v>42019</v>
      </c>
      <c r="B22">
        <v>4</v>
      </c>
      <c r="C22">
        <v>3</v>
      </c>
      <c r="D22">
        <v>6</v>
      </c>
      <c r="E22">
        <f>VLOOKUP(B22,'BDD unique'!A14:D17,3,FALSE())</f>
        <v>10000</v>
      </c>
      <c r="F22">
        <f t="shared" si="0"/>
        <v>30000</v>
      </c>
    </row>
    <row r="23" spans="1:6" ht="15" customHeight="1">
      <c r="A23" s="102">
        <v>42020</v>
      </c>
      <c r="B23">
        <v>1</v>
      </c>
      <c r="C23">
        <v>10</v>
      </c>
      <c r="D23">
        <v>6</v>
      </c>
      <c r="E23">
        <f>VLOOKUP(B23,'BDD unique'!A14:D17,3,FALSE())</f>
        <v>21000</v>
      </c>
      <c r="F23" s="103">
        <f t="shared" si="0"/>
        <v>210000</v>
      </c>
    </row>
    <row r="24" spans="1:6" ht="15" customHeight="1">
      <c r="A24" s="102"/>
      <c r="F24" s="103"/>
    </row>
    <row r="25" spans="1:6" ht="15" customHeight="1">
      <c r="A25" s="102"/>
      <c r="E25" t="s">
        <v>98</v>
      </c>
      <c r="F25">
        <f>AVERAGE(F11:F23)</f>
        <v>118615.38461538461</v>
      </c>
    </row>
    <row r="26" spans="1:6" ht="15" customHeight="1">
      <c r="A26" s="102"/>
      <c r="E26" t="s">
        <v>99</v>
      </c>
      <c r="F26">
        <f>SUM(F11:F23)</f>
        <v>1542000</v>
      </c>
    </row>
  </sheetData>
  <mergeCells count="1">
    <mergeCell ref="A1:F1"/>
  </mergeCells>
  <dataValidations count="3">
    <dataValidation type="list" allowBlank="1" showErrorMessage="1" sqref="C3" xr:uid="{00000000-0002-0000-0200-000000000000}">
      <formula1>$O$1:$O$4</formula1>
      <formula2>0</formula2>
    </dataValidation>
    <dataValidation type="whole" operator="greaterThan" allowBlank="1" showErrorMessage="1" sqref="C4" xr:uid="{00000000-0002-0000-0200-000001000000}">
      <formula1>0</formula1>
      <formula2>0</formula2>
    </dataValidation>
    <dataValidation type="list" allowBlank="1" showErrorMessage="1" sqref="C5" xr:uid="{00000000-0002-0000-0200-000002000000}">
      <formula1>$T$1:$T$3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Normal="100" workbookViewId="0"/>
  </sheetViews>
  <sheetFormatPr baseColWidth="10" defaultColWidth="11" defaultRowHeight="15" customHeight="1"/>
  <cols>
    <col min="1" max="1" width="10.7109375" customWidth="1"/>
    <col min="2" max="2" width="18.5703125" customWidth="1"/>
    <col min="3" max="3" width="20.5703125" customWidth="1"/>
    <col min="4" max="4" width="17.140625" customWidth="1"/>
    <col min="5" max="5" width="12.85546875" customWidth="1"/>
  </cols>
  <sheetData>
    <row r="1" spans="1:20" ht="42" customHeight="1">
      <c r="A1" s="140" t="s">
        <v>100</v>
      </c>
      <c r="B1" s="140"/>
      <c r="C1" s="140"/>
      <c r="D1" s="140"/>
      <c r="E1" s="140"/>
      <c r="F1" s="104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.75" customHeight="1"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ht="15" customHeight="1">
      <c r="A3" s="105" t="s">
        <v>101</v>
      </c>
      <c r="B3" s="106"/>
      <c r="C3" s="107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ht="15.75" customHeight="1">
      <c r="A4" s="108" t="s">
        <v>102</v>
      </c>
      <c r="B4" s="109"/>
      <c r="C4" s="110"/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6" spans="1:20" ht="3.75" customHeight="1"/>
    <row r="7" spans="1:20" ht="3.75" customHeight="1"/>
    <row r="8" spans="1:20" ht="3.75" customHeight="1"/>
    <row r="9" spans="1:20" ht="15" customHeight="1">
      <c r="A9" s="97" t="s">
        <v>103</v>
      </c>
    </row>
    <row r="10" spans="1:20" ht="15" customHeight="1">
      <c r="A10" s="111" t="s">
        <v>92</v>
      </c>
      <c r="B10" s="111" t="s">
        <v>104</v>
      </c>
      <c r="C10" s="111" t="s">
        <v>105</v>
      </c>
      <c r="D10" s="111" t="s">
        <v>106</v>
      </c>
      <c r="E10" s="111" t="s">
        <v>97</v>
      </c>
    </row>
    <row r="11" spans="1:20" ht="15" customHeight="1">
      <c r="A11" s="99">
        <v>42006</v>
      </c>
      <c r="B11" s="100">
        <v>1</v>
      </c>
      <c r="C11" s="100">
        <v>20</v>
      </c>
      <c r="D11" s="101">
        <f>VLOOKUP(B11,'BDD unique'!A14:D17,4,FALSE())</f>
        <v>19000</v>
      </c>
      <c r="E11" s="101">
        <f t="shared" ref="E11:E16" si="0">C11*D11</f>
        <v>380000</v>
      </c>
    </row>
    <row r="12" spans="1:20" ht="15" customHeight="1">
      <c r="A12" s="99">
        <v>42009</v>
      </c>
      <c r="B12" s="100">
        <v>2</v>
      </c>
      <c r="C12" s="100">
        <v>20</v>
      </c>
      <c r="D12" s="101">
        <f>VLOOKUP(B12,'BDD unique'!A14:D17,4,FALSE())</f>
        <v>31000</v>
      </c>
      <c r="E12" s="101">
        <f t="shared" si="0"/>
        <v>620000</v>
      </c>
    </row>
    <row r="13" spans="1:20" ht="15" customHeight="1">
      <c r="A13" s="99">
        <v>42010</v>
      </c>
      <c r="B13" s="100">
        <v>3</v>
      </c>
      <c r="C13" s="100">
        <v>20</v>
      </c>
      <c r="D13" s="101">
        <f>VLOOKUP(B13,'BDD unique'!A14:D17,4,FALSE())</f>
        <v>12000</v>
      </c>
      <c r="E13" s="101">
        <f t="shared" si="0"/>
        <v>240000</v>
      </c>
    </row>
    <row r="14" spans="1:20" ht="15" customHeight="1">
      <c r="A14" s="99">
        <v>42010</v>
      </c>
      <c r="B14" s="100">
        <v>4</v>
      </c>
      <c r="C14" s="100">
        <v>20</v>
      </c>
      <c r="D14" s="101">
        <f>VLOOKUP(B14,'BDD unique'!A14:D17,4,FALSE())</f>
        <v>7000</v>
      </c>
      <c r="E14" s="101">
        <f t="shared" si="0"/>
        <v>140000</v>
      </c>
    </row>
    <row r="15" spans="1:20" ht="15" customHeight="1">
      <c r="A15" s="99">
        <v>42011</v>
      </c>
      <c r="B15" s="100">
        <v>1</v>
      </c>
      <c r="C15" s="100">
        <v>10</v>
      </c>
      <c r="D15" s="101">
        <f>VLOOKUP(B15,'BDD unique'!A14:D17,4,FALSE())</f>
        <v>19000</v>
      </c>
      <c r="E15" s="101">
        <f t="shared" si="0"/>
        <v>190000</v>
      </c>
    </row>
    <row r="16" spans="1:20" ht="15" customHeight="1">
      <c r="A16" s="99">
        <v>42019</v>
      </c>
      <c r="B16" s="100">
        <v>4</v>
      </c>
      <c r="C16" s="100">
        <v>15</v>
      </c>
      <c r="D16" s="101">
        <f>VLOOKUP(B16,'BDD unique'!A14:D17,4,FALSE())</f>
        <v>7000</v>
      </c>
      <c r="E16" s="101">
        <f t="shared" si="0"/>
        <v>105000</v>
      </c>
    </row>
    <row r="17" spans="1:5" ht="15" customHeight="1">
      <c r="A17" s="99"/>
      <c r="B17" s="100"/>
      <c r="C17" s="100"/>
      <c r="D17" s="101"/>
      <c r="E17" s="101"/>
    </row>
    <row r="18" spans="1:5" ht="15" customHeight="1">
      <c r="A18" s="102"/>
    </row>
    <row r="19" spans="1:5" ht="15" customHeight="1">
      <c r="A19" s="102"/>
    </row>
    <row r="20" spans="1:5" ht="15" customHeight="1">
      <c r="A20" s="102"/>
      <c r="D20" t="s">
        <v>98</v>
      </c>
      <c r="E20" s="103">
        <f>AVERAGE(E11:E16)</f>
        <v>279166.66666666669</v>
      </c>
    </row>
    <row r="21" spans="1:5" ht="15" customHeight="1">
      <c r="A21" s="102"/>
      <c r="D21" t="s">
        <v>99</v>
      </c>
      <c r="E21" s="103">
        <f>SUM(E11:E16)</f>
        <v>1675000</v>
      </c>
    </row>
    <row r="22" spans="1:5" ht="15" customHeight="1">
      <c r="A22" s="102"/>
    </row>
    <row r="23" spans="1:5" ht="15" customHeight="1">
      <c r="A23" s="102"/>
    </row>
    <row r="24" spans="1:5" ht="15" customHeight="1">
      <c r="A24" s="102"/>
    </row>
    <row r="25" spans="1:5" ht="15" customHeight="1">
      <c r="A25" s="102"/>
    </row>
    <row r="26" spans="1:5" ht="15" customHeight="1">
      <c r="A26" s="102"/>
    </row>
  </sheetData>
  <mergeCells count="1">
    <mergeCell ref="A1:E1"/>
  </mergeCells>
  <dataValidations count="2">
    <dataValidation type="whole" operator="greaterThan" allowBlank="1" showErrorMessage="1" sqref="C4" xr:uid="{00000000-0002-0000-0300-000000000000}">
      <formula1>0</formula1>
      <formula2>0</formula2>
    </dataValidation>
    <dataValidation type="list" allowBlank="1" showErrorMessage="1" sqref="C3" xr:uid="{00000000-0002-0000-0300-000001000000}">
      <formula1>$O$1:$O$4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Normal="100" workbookViewId="0"/>
  </sheetViews>
  <sheetFormatPr baseColWidth="10" defaultColWidth="11" defaultRowHeight="15" customHeight="1"/>
  <cols>
    <col min="2" max="3" width="15.42578125" customWidth="1"/>
    <col min="7" max="7" width="13.42578125" customWidth="1"/>
  </cols>
  <sheetData>
    <row r="1" spans="1:7" ht="42" customHeight="1">
      <c r="A1" s="141" t="s">
        <v>107</v>
      </c>
      <c r="B1" s="141"/>
      <c r="C1" s="141"/>
      <c r="D1" s="141"/>
      <c r="E1" s="141"/>
      <c r="F1" s="141"/>
      <c r="G1" s="141"/>
    </row>
    <row r="2" spans="1:7" ht="9.75" customHeight="1"/>
    <row r="3" spans="1:7" ht="6" customHeight="1"/>
    <row r="4" spans="1:7" ht="2.25" customHeight="1"/>
    <row r="6" spans="1:7" ht="30" customHeight="1">
      <c r="A6" s="112" t="s">
        <v>108</v>
      </c>
      <c r="B6" s="112" t="s">
        <v>109</v>
      </c>
      <c r="C6" s="113" t="s">
        <v>110</v>
      </c>
      <c r="D6" s="112" t="s">
        <v>111</v>
      </c>
      <c r="E6" s="112" t="s">
        <v>112</v>
      </c>
      <c r="F6" s="112" t="s">
        <v>113</v>
      </c>
      <c r="G6" s="112" t="s">
        <v>114</v>
      </c>
    </row>
    <row r="7" spans="1:7" ht="15" customHeight="1">
      <c r="A7" s="114">
        <f>'BDD unique'!A14</f>
        <v>1</v>
      </c>
      <c r="B7" s="114" t="str">
        <f>'BDD unique'!B14</f>
        <v>Peugeot 406</v>
      </c>
      <c r="C7" s="114">
        <f>'BDD unique'!D14</f>
        <v>19000</v>
      </c>
      <c r="D7" s="114">
        <f>SUMIF(Vente!B:B,A7,Vente!C:C)</f>
        <v>36</v>
      </c>
      <c r="E7" s="114">
        <f>SUMIF(Achat!B:B,A7,Achat!C:C)</f>
        <v>30</v>
      </c>
      <c r="F7" s="114">
        <f>E7-D7</f>
        <v>-6</v>
      </c>
      <c r="G7" s="115">
        <f>IF(F7&gt;0,F7*C7,0)</f>
        <v>0</v>
      </c>
    </row>
    <row r="8" spans="1:7" ht="15" customHeight="1">
      <c r="A8" s="100">
        <f>'BDD unique'!A15</f>
        <v>2</v>
      </c>
      <c r="B8" s="100" t="str">
        <f>'BDD unique'!B15</f>
        <v>BMW série 3</v>
      </c>
      <c r="C8" s="114">
        <f>'BDD unique'!D15</f>
        <v>31000</v>
      </c>
      <c r="D8" s="100">
        <f>SUMIF(Vente!B:B,A8,Vente!C:C)</f>
        <v>8</v>
      </c>
      <c r="E8" s="100">
        <f>SUMIF(Achat!B:B,A8,Achat!C:C)</f>
        <v>20</v>
      </c>
      <c r="F8" s="114">
        <f>E8-D8</f>
        <v>12</v>
      </c>
      <c r="G8" s="115">
        <f>IF(F8&gt;0,F8*C8,0)</f>
        <v>372000</v>
      </c>
    </row>
    <row r="9" spans="1:7" ht="15" customHeight="1">
      <c r="A9" s="100">
        <f>'BDD unique'!A16</f>
        <v>3</v>
      </c>
      <c r="B9" s="100" t="str">
        <f>'BDD unique'!B16</f>
        <v>Renault mégane</v>
      </c>
      <c r="C9" s="114">
        <f>'BDD unique'!D16</f>
        <v>12000</v>
      </c>
      <c r="D9" s="100">
        <f>SUMIF(Vente!B:B,A9,Vente!C:C)</f>
        <v>20</v>
      </c>
      <c r="E9" s="100">
        <f>SUMIF(Achat!B:B,A9,Achat!C:C)</f>
        <v>20</v>
      </c>
      <c r="F9" s="114">
        <f>E9-D9</f>
        <v>0</v>
      </c>
      <c r="G9" s="115">
        <f>IF(F9&gt;0,F9*C9,0)</f>
        <v>0</v>
      </c>
    </row>
    <row r="10" spans="1:7" ht="15" customHeight="1">
      <c r="A10" s="100">
        <f>'BDD unique'!A17</f>
        <v>4</v>
      </c>
      <c r="B10" s="100" t="str">
        <f>'BDD unique'!B17</f>
        <v>Renault clio</v>
      </c>
      <c r="C10" s="114">
        <f>'BDD unique'!D17</f>
        <v>7000</v>
      </c>
      <c r="D10" s="100">
        <f>SUMIF(Vente!B:B,A10,Vente!C:C)</f>
        <v>23</v>
      </c>
      <c r="E10" s="100">
        <f>SUMIF(Achat!B:B,A10,Achat!C:C)</f>
        <v>35</v>
      </c>
      <c r="F10" s="114">
        <f>E10-D10</f>
        <v>12</v>
      </c>
      <c r="G10" s="115">
        <f>IF(F10&gt;0,F10*C10,0)</f>
        <v>84000</v>
      </c>
    </row>
    <row r="14" spans="1:7" ht="15" customHeight="1">
      <c r="F14" t="s">
        <v>99</v>
      </c>
      <c r="G14" s="116">
        <f>SUM(G7:G10)</f>
        <v>456000</v>
      </c>
    </row>
  </sheetData>
  <mergeCells count="1">
    <mergeCell ref="A1:G1"/>
  </mergeCells>
  <conditionalFormatting sqref="F7:F10">
    <cfRule type="cellIs" dxfId="1" priority="2" operator="between">
      <formula>0</formula>
      <formula>5</formula>
    </cfRule>
    <cfRule type="cellIs" dxfId="0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zoomScaleNormal="100" workbookViewId="0">
      <selection activeCell="B12" sqref="B12"/>
    </sheetView>
  </sheetViews>
  <sheetFormatPr baseColWidth="10" defaultColWidth="11" defaultRowHeight="15" customHeight="1"/>
  <cols>
    <col min="1" max="1" width="16.28515625" customWidth="1"/>
    <col min="2" max="3" width="12.85546875" customWidth="1"/>
  </cols>
  <sheetData>
    <row r="1" spans="1:7" ht="38.25" customHeight="1">
      <c r="A1" s="141" t="s">
        <v>115</v>
      </c>
      <c r="B1" s="141"/>
      <c r="C1" s="141"/>
      <c r="D1" s="141"/>
      <c r="E1" s="141"/>
      <c r="F1" s="141"/>
      <c r="G1" s="141"/>
    </row>
    <row r="3" spans="1:7" ht="15" customHeight="1">
      <c r="A3" s="117" t="s">
        <v>116</v>
      </c>
    </row>
    <row r="5" spans="1:7" ht="15" customHeight="1">
      <c r="B5" s="118" t="s">
        <v>117</v>
      </c>
      <c r="C5" s="118" t="s">
        <v>118</v>
      </c>
    </row>
    <row r="6" spans="1:7" ht="15" customHeight="1">
      <c r="A6" s="118" t="s">
        <v>119</v>
      </c>
      <c r="B6" s="119">
        <f>SUM('BDD unique'!F3:F10)*12</f>
        <v>382800</v>
      </c>
      <c r="C6" s="119"/>
    </row>
    <row r="7" spans="1:7" ht="15" customHeight="1">
      <c r="A7" s="118" t="s">
        <v>120</v>
      </c>
      <c r="B7" s="119"/>
      <c r="C7" s="120">
        <f>Vente!F26</f>
        <v>1542000</v>
      </c>
    </row>
    <row r="8" spans="1:7" ht="15" customHeight="1">
      <c r="A8" s="118" t="s">
        <v>121</v>
      </c>
      <c r="B8" s="119">
        <f>Achat!E21</f>
        <v>1675000</v>
      </c>
      <c r="C8" s="119"/>
    </row>
    <row r="9" spans="1:7" ht="15" customHeight="1">
      <c r="A9" s="118" t="s">
        <v>114</v>
      </c>
      <c r="B9" s="119"/>
      <c r="C9" s="119">
        <f>Stock!G14</f>
        <v>456000</v>
      </c>
    </row>
    <row r="10" spans="1:7" ht="15.75" customHeight="1">
      <c r="A10" s="118" t="s">
        <v>122</v>
      </c>
      <c r="B10" s="121">
        <f>B8*5%</f>
        <v>83750</v>
      </c>
      <c r="C10" s="121"/>
    </row>
    <row r="11" spans="1:7" ht="15.75" customHeight="1">
      <c r="A11" s="118" t="s">
        <v>99</v>
      </c>
      <c r="B11" s="122">
        <f>SUM(B6:B10)</f>
        <v>2141550</v>
      </c>
      <c r="C11" s="123">
        <f>SUM(C6:C10)</f>
        <v>1998000</v>
      </c>
    </row>
    <row r="15" spans="1:7" ht="15" customHeight="1">
      <c r="A15" s="117" t="s">
        <v>123</v>
      </c>
      <c r="B15" s="124">
        <f>C11-B11</f>
        <v>-143550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6"/>
  <sheetViews>
    <sheetView tabSelected="1" zoomScaleNormal="100" workbookViewId="0">
      <selection sqref="A1:G1"/>
    </sheetView>
  </sheetViews>
  <sheetFormatPr baseColWidth="10" defaultColWidth="11" defaultRowHeight="15" customHeight="1"/>
  <cols>
    <col min="1" max="1" width="20.28515625" customWidth="1"/>
    <col min="2" max="2" width="15.85546875" customWidth="1"/>
    <col min="3" max="3" width="18" customWidth="1"/>
    <col min="4" max="4" width="19.140625" customWidth="1"/>
    <col min="5" max="5" width="17.42578125" customWidth="1"/>
    <col min="17" max="17" width="2" customWidth="1"/>
    <col min="18" max="18" width="7.85546875" customWidth="1"/>
    <col min="19" max="19" width="7.140625" customWidth="1"/>
    <col min="20" max="20" width="15.85546875" customWidth="1"/>
  </cols>
  <sheetData>
    <row r="1" spans="1:20" ht="89.25" customHeight="1">
      <c r="A1" s="142" t="s">
        <v>124</v>
      </c>
      <c r="B1" s="142"/>
      <c r="C1" s="142"/>
      <c r="D1" s="142"/>
      <c r="E1" s="142"/>
      <c r="F1" s="142"/>
      <c r="G1" s="142"/>
      <c r="M1">
        <f>'BDD unique'!A14</f>
        <v>1</v>
      </c>
      <c r="N1" t="str">
        <f>'BDD unique'!B14</f>
        <v>Peugeot 406</v>
      </c>
      <c r="O1" t="str">
        <f>CONCATENATE(M1," : ",N1)</f>
        <v>1 : Peugeot 406</v>
      </c>
      <c r="Q1">
        <f>'BDD unique'!A8</f>
        <v>6</v>
      </c>
      <c r="R1" t="str">
        <f>'BDD unique'!B8</f>
        <v>Vaillant</v>
      </c>
      <c r="S1" t="str">
        <f>'BDD unique'!C8</f>
        <v>Paul</v>
      </c>
      <c r="T1" t="str">
        <f>CONCATENATE(Q1," : ",R1," ",S1)</f>
        <v>6 : Vaillant Paul</v>
      </c>
    </row>
    <row r="2" spans="1:20" ht="15" customHeight="1">
      <c r="A2" s="143"/>
      <c r="B2" s="143"/>
      <c r="C2" s="143"/>
      <c r="D2" s="143"/>
      <c r="E2" s="143"/>
      <c r="F2" s="143"/>
      <c r="M2">
        <f>'BDD unique'!A15</f>
        <v>2</v>
      </c>
      <c r="N2" t="str">
        <f>'BDD unique'!B15</f>
        <v>BMW série 3</v>
      </c>
      <c r="O2" t="str">
        <f>CONCATENATE(M2," : ",N2)</f>
        <v>2 : BMW série 3</v>
      </c>
      <c r="Q2">
        <f>'BDD unique'!A9</f>
        <v>7</v>
      </c>
      <c r="R2" t="str">
        <f>'BDD unique'!B9</f>
        <v>Faure</v>
      </c>
      <c r="S2" t="str">
        <f>'BDD unique'!C9</f>
        <v>Michel</v>
      </c>
      <c r="T2" t="str">
        <f>CONCATENATE(Q2," : ",R2," ",S2)</f>
        <v>7 : Faure Michel</v>
      </c>
    </row>
    <row r="3" spans="1:20" ht="15" customHeight="1">
      <c r="A3" s="144" t="s">
        <v>125</v>
      </c>
      <c r="B3" s="144"/>
      <c r="C3" s="144"/>
      <c r="D3" s="144"/>
      <c r="E3" s="144"/>
      <c r="F3" s="144"/>
      <c r="G3" s="144"/>
      <c r="M3">
        <f>'BDD unique'!A16</f>
        <v>3</v>
      </c>
      <c r="N3" t="str">
        <f>'BDD unique'!B16</f>
        <v>Renault mégane</v>
      </c>
      <c r="O3" t="str">
        <f>CONCATENATE(M3," : ",N3)</f>
        <v>3 : Renault mégane</v>
      </c>
      <c r="Q3">
        <f>'BDD unique'!A10</f>
        <v>8</v>
      </c>
      <c r="R3" t="str">
        <f>'BDD unique'!B10</f>
        <v>Huster</v>
      </c>
      <c r="S3" t="str">
        <f>'BDD unique'!C10</f>
        <v>Françis</v>
      </c>
      <c r="T3" t="str">
        <f>CONCATENATE(Q3," : ",R3," ",S3)</f>
        <v>8 : Huster Françis</v>
      </c>
    </row>
    <row r="4" spans="1:20" ht="15" customHeight="1">
      <c r="M4">
        <f>'BDD unique'!A17</f>
        <v>4</v>
      </c>
      <c r="N4" t="str">
        <f>'BDD unique'!B17</f>
        <v>Renault clio</v>
      </c>
      <c r="O4" t="str">
        <f>CONCATENATE(M4," : ",N4)</f>
        <v>4 : Renault clio</v>
      </c>
    </row>
    <row r="5" spans="1:20" ht="15" customHeight="1">
      <c r="C5" s="125" t="s">
        <v>126</v>
      </c>
      <c r="D5" s="125" t="s">
        <v>127</v>
      </c>
    </row>
    <row r="6" spans="1:20" ht="15" customHeight="1">
      <c r="C6" s="100" t="str">
        <f>T1</f>
        <v>6 : Vaillant Paul</v>
      </c>
      <c r="D6" s="100">
        <f>SUMIF(Vente!D:D,Décisionnel!Q1,Vente!C:C)</f>
        <v>46</v>
      </c>
    </row>
    <row r="7" spans="1:20" ht="15" customHeight="1">
      <c r="C7" s="100" t="str">
        <f>T2</f>
        <v>7 : Faure Michel</v>
      </c>
      <c r="D7" s="100">
        <f>SUMIF(Vente!D:D,Décisionnel!Q2,Vente!C:C)</f>
        <v>16</v>
      </c>
    </row>
    <row r="8" spans="1:20" ht="15" customHeight="1">
      <c r="C8" s="100" t="str">
        <f>T3</f>
        <v>8 : Huster Françis</v>
      </c>
      <c r="D8" s="100">
        <f>SUMIF(Vente!D:D,Décisionnel!Q3,Vente!C:C)</f>
        <v>25</v>
      </c>
    </row>
    <row r="26" spans="1:7" ht="15" customHeight="1">
      <c r="A26" s="144" t="s">
        <v>128</v>
      </c>
      <c r="B26" s="144"/>
      <c r="C26" s="144"/>
      <c r="D26" s="144"/>
      <c r="E26" s="144"/>
      <c r="F26" s="144"/>
      <c r="G26" s="144"/>
    </row>
    <row r="28" spans="1:7" ht="15" customHeight="1">
      <c r="C28" s="125" t="s">
        <v>129</v>
      </c>
      <c r="D28" s="125" t="s">
        <v>127</v>
      </c>
    </row>
    <row r="29" spans="1:7" ht="15" customHeight="1">
      <c r="C29" s="100" t="str">
        <f>O1</f>
        <v>1 : Peugeot 406</v>
      </c>
      <c r="D29" s="100">
        <f>SUMIF(Vente!B:B,Décisionnel!M1,Vente!C:C)</f>
        <v>36</v>
      </c>
    </row>
    <row r="30" spans="1:7" ht="15" customHeight="1">
      <c r="C30" s="100" t="str">
        <f>O2</f>
        <v>2 : BMW série 3</v>
      </c>
      <c r="D30" s="100">
        <f>SUMIF(Vente!B:B,Décisionnel!M2,Vente!C:C)</f>
        <v>8</v>
      </c>
    </row>
    <row r="31" spans="1:7" ht="15" customHeight="1">
      <c r="C31" s="100" t="str">
        <f>O3</f>
        <v>3 : Renault mégane</v>
      </c>
      <c r="D31" s="100">
        <f>SUMIF(Vente!B:B,Décisionnel!M3,Vente!C:C)</f>
        <v>20</v>
      </c>
    </row>
    <row r="32" spans="1:7" ht="15" customHeight="1">
      <c r="C32" s="100" t="str">
        <f>O4</f>
        <v>4 : Renault clio</v>
      </c>
      <c r="D32" s="100">
        <f>SUMIF(Vente!B:B,Décisionnel!M4,Vente!C:C)</f>
        <v>23</v>
      </c>
    </row>
    <row r="50" spans="1:7" ht="15" customHeight="1">
      <c r="A50" s="144" t="s">
        <v>130</v>
      </c>
      <c r="B50" s="144"/>
      <c r="C50" s="144"/>
      <c r="D50" s="144"/>
      <c r="E50" s="144"/>
      <c r="F50" s="144"/>
      <c r="G50" s="144"/>
    </row>
    <row r="52" spans="1:7" ht="30" customHeight="1">
      <c r="A52" s="125" t="s">
        <v>129</v>
      </c>
      <c r="B52" s="125" t="s">
        <v>131</v>
      </c>
      <c r="C52" s="125" t="s">
        <v>132</v>
      </c>
      <c r="D52" s="126" t="s">
        <v>133</v>
      </c>
      <c r="E52" s="126" t="s">
        <v>134</v>
      </c>
      <c r="F52" s="126" t="s">
        <v>135</v>
      </c>
    </row>
    <row r="53" spans="1:7" ht="15" customHeight="1">
      <c r="A53" s="100" t="str">
        <f>O1</f>
        <v>1 : Peugeot 406</v>
      </c>
      <c r="B53" s="127">
        <f>VLOOKUP(M1,'BDD unique'!A14:D17,4,FALSE())</f>
        <v>19000</v>
      </c>
      <c r="C53" s="127">
        <f>VLOOKUP(M1,'BDD unique'!A14:C17,3,FALSE())</f>
        <v>21000</v>
      </c>
      <c r="D53" s="127">
        <f>C53-B53</f>
        <v>2000</v>
      </c>
      <c r="E53" s="128">
        <f>SUMIF(Vente!B:B,M1,Vente!C:C)</f>
        <v>36</v>
      </c>
      <c r="F53" s="127">
        <f>D53*E53</f>
        <v>72000</v>
      </c>
    </row>
    <row r="54" spans="1:7" ht="15" customHeight="1">
      <c r="A54" s="100" t="str">
        <f>O2</f>
        <v>2 : BMW série 3</v>
      </c>
      <c r="B54" s="127">
        <f>VLOOKUP(M2,'BDD unique'!A14:D17,4,FALSE())</f>
        <v>31000</v>
      </c>
      <c r="C54" s="127">
        <f>VLOOKUP(M2,'BDD unique'!A14:C17,3,FALSE())</f>
        <v>32000</v>
      </c>
      <c r="D54" s="127">
        <f>C54-B54</f>
        <v>1000</v>
      </c>
      <c r="E54" s="128">
        <f>SUMIF(Vente!B:B,M2,Vente!C:C)</f>
        <v>8</v>
      </c>
      <c r="F54" s="127">
        <f>D54*E54</f>
        <v>8000</v>
      </c>
    </row>
    <row r="55" spans="1:7" ht="15" customHeight="1">
      <c r="A55" s="100" t="str">
        <f>O3</f>
        <v>3 : Renault mégane</v>
      </c>
      <c r="B55" s="127">
        <f>VLOOKUP(M3,'BDD unique'!A14:D17,4,FALSE())</f>
        <v>12000</v>
      </c>
      <c r="C55" s="127">
        <f>VLOOKUP(M3,'BDD unique'!A14:C17,3,FALSE())</f>
        <v>15000</v>
      </c>
      <c r="D55" s="127">
        <f>C55-B55</f>
        <v>3000</v>
      </c>
      <c r="E55" s="128">
        <f>SUMIF(Vente!B:B,M3,Vente!C:C)</f>
        <v>20</v>
      </c>
      <c r="F55" s="127">
        <f>D55*E55</f>
        <v>60000</v>
      </c>
    </row>
    <row r="56" spans="1:7" ht="15" customHeight="1">
      <c r="A56" s="100" t="str">
        <f>O4</f>
        <v>4 : Renault clio</v>
      </c>
      <c r="B56" s="127">
        <f>VLOOKUP(M4,'BDD unique'!A14:D17,4,FALSE())</f>
        <v>7000</v>
      </c>
      <c r="C56" s="127">
        <f>VLOOKUP(M4,'BDD unique'!A14:C17,3,FALSE())</f>
        <v>10000</v>
      </c>
      <c r="D56" s="127">
        <f>C56-B56</f>
        <v>3000</v>
      </c>
      <c r="E56" s="128">
        <f>SUMIF(Vente!B:B,M4,Vente!C:C)</f>
        <v>23</v>
      </c>
      <c r="F56" s="127">
        <f>D56*E56</f>
        <v>69000</v>
      </c>
    </row>
  </sheetData>
  <mergeCells count="5">
    <mergeCell ref="A1:G1"/>
    <mergeCell ref="A2:F2"/>
    <mergeCell ref="A3:G3"/>
    <mergeCell ref="A26:G26"/>
    <mergeCell ref="A50:G5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BDD unique</vt:lpstr>
      <vt:lpstr>fiche de paye</vt:lpstr>
      <vt:lpstr>Vente</vt:lpstr>
      <vt:lpstr>Achat</vt:lpstr>
      <vt:lpstr>Stock</vt:lpstr>
      <vt:lpstr>Finance</vt:lpstr>
      <vt:lpstr>Décisionnel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aymeric plumecoq</cp:lastModifiedBy>
  <dcterms:modified xsi:type="dcterms:W3CDTF">2026-09-10T18:27:42Z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2015-09-22T16:55:53Z</dcterms:created>
  <dc:creator>Benjamin</dc:creator>
  <dc:description/>
  <dc:language>en-US</dc:language>
  <cp:lastModifiedBy/>
  <dcterms:modified xsi:type="dcterms:W3CDTF">2026-09-03T15:57:09Z</dcterms:modified>
  <cp:revision>2</cp:revision>
  <dc:subject/>
  <dc:title/>
</cp:coreProperties>
</file>